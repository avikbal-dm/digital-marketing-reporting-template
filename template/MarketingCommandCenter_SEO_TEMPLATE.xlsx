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drawings/drawing6.xml" ContentType="application/vnd.openxmlformats-officedocument.drawing+xml"/>
  <Override PartName="/xl/drawings/vmlDrawing5.vml" ContentType="application/vnd.openxmlformats-officedocument.vmlDrawing"/>
  <Override PartName="/xl/drawings/vmlDrawing3.vml" ContentType="application/vnd.openxmlformats-officedocument.vmlDrawing"/>
  <Override PartName="/xl/drawings/drawing4.xml" ContentType="application/vnd.openxmlformats-officedocument.drawing+xml"/>
  <Override PartName="/xl/drawings/vmlDrawing6.vml" ContentType="application/vnd.openxmlformats-officedocument.vmlDrawing"/>
  <Override PartName="/xl/drawings/drawing7.xml" ContentType="application/vnd.openxmlformats-officedocument.drawing+xml"/>
  <Override PartName="/xl/drawings/vmlDrawing4.vml" ContentType="application/vnd.openxmlformats-officedocument.vmlDrawing"/>
  <Override PartName="/xl/drawings/drawing5.xml" ContentType="application/vnd.openxmlformats-officedocument.drawing+xml"/>
  <Override PartName="/xl/drawings/vmlDrawing7.vml" ContentType="application/vnd.openxmlformats-officedocument.vmlDrawing"/>
  <Override PartName="/xl/sharedStrings.xml" ContentType="application/vnd.openxmlformats-officedocument.spreadsheetml.sharedStrings+xml"/>
  <Override PartName="/xl/comments9.xml" ContentType="application/vnd.openxmlformats-officedocument.spreadsheetml.comments+xml"/>
  <Override PartName="/xl/worksheets/_rels/sheet3.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comments6.xml" ContentType="application/vnd.openxmlformats-officedocument.spreadsheetml.comments+xml"/>
  <Override PartName="/xl/styles.xml" ContentType="application/vnd.openxmlformats-officedocument.spreadsheetml.styles+xml"/>
  <Override PartName="/xl/comments3.xml" ContentType="application/vnd.openxmlformats-officedocument.spreadsheetml.comments+xml"/>
  <Override PartName="/xl/comments8.xml" ContentType="application/vnd.openxmlformats-officedocument.spreadsheetml.comments+xml"/>
  <Override PartName="/xl/theme/theme1.xml" ContentType="application/vnd.openxmlformats-officedocument.theme+xml"/>
  <Override PartName="/xl/comments7.xml" ContentType="application/vnd.openxmlformats-officedocument.spreadsheetml.comments+xml"/>
  <Override PartName="/xl/comments10.xml" ContentType="application/vnd.openxmlformats-officedocument.spreadsheetml.comments+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Guide" sheetId="1" state="visible" r:id="rId3"/>
    <sheet name="Instructions &amp; Prompts" sheetId="2" state="visible" r:id="rId4"/>
    <sheet name="Monthly Summary" sheetId="3" state="visible" r:id="rId5"/>
    <sheet name="Executive Summary" sheetId="4" state="visible" r:id="rId6"/>
    <sheet name="Month-on-Month" sheetId="5" state="visible" r:id="rId7"/>
    <sheet name="Top Pages" sheetId="6" state="visible" r:id="rId8"/>
    <sheet name="Top Keywords" sheetId="7" state="visible" r:id="rId9"/>
    <sheet name="Position Bands" sheetId="8" state="visible" r:id="rId10"/>
    <sheet name="Striking Distance" sheetId="9" state="visible" r:id="rId11"/>
    <sheet name="Core Web Vitals" sheetId="10" state="visible" r:id="rId12"/>
    <sheet name="Authority &amp; Backlinks" sheetId="11" state="visible" r:id="rId13"/>
    <sheet name="Flags &amp; Fixes" sheetId="12" state="visible" r:id="rId14"/>
    <sheet name="Definitions" sheetId="13" state="visible" r:id="rId15"/>
    <sheet name="Sources" sheetId="14" state="visible" r:id="rId16"/>
  </sheets>
  <definedNames>
    <definedName function="false" hidden="true" localSheetId="10" name="_xlnm._FilterDatabase" vbProcedure="false">'Authority &amp; Backlinks'!$A$4:$G$16</definedName>
    <definedName function="false" hidden="true" localSheetId="9" name="_xlnm._FilterDatabase" vbProcedure="false">'Core Web Vitals'!$A$4:$F$9</definedName>
    <definedName function="false" hidden="true" localSheetId="11" name="_xlnm._FilterDatabase" vbProcedure="false">'Flags &amp; Fixes'!$A$4:$E$10</definedName>
    <definedName function="false" hidden="true" localSheetId="2" name="_xlnm._FilterDatabase" vbProcedure="false">'Monthly Summary'!$A$4:$L$28</definedName>
    <definedName function="false" hidden="true" localSheetId="8" name="_xlnm._FilterDatabase" vbProcedure="false">'Striking Distance'!$A$4:$H$9</definedName>
    <definedName function="false" hidden="true" localSheetId="6" name="_xlnm._FilterDatabase" vbProcedure="false">'Top Keywords'!$A$4:$H$9</definedName>
    <definedName function="false" hidden="true" localSheetId="5" name="_xlnm._FilterDatabase" vbProcedure="false">'Top Pages'!$A$4:$H$9</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Organic clicks from Google search, via Search Console.</t>
        </r>
      </text>
    </comment>
    <comment ref="C4" authorId="0">
      <text>
        <r>
          <rPr>
            <sz val="10"/>
            <rFont val="Arial"/>
            <family val="2"/>
          </rPr>
          <t xml:space="preserve">Times your pages appeared in unpaid search results.</t>
        </r>
      </text>
    </comment>
    <comment ref="D4" authorId="0">
      <text>
        <r>
          <rPr>
            <sz val="10"/>
            <rFont val="Arial"/>
            <family val="2"/>
          </rPr>
          <t xml:space="preserve">Organic click-through rate. Clicks divided by impressions.</t>
        </r>
      </text>
    </comment>
    <comment ref="E4" authorId="0">
      <text>
        <r>
          <rPr>
            <sz val="10"/>
            <rFont val="Arial"/>
            <family val="2"/>
          </rPr>
          <t xml:space="preserve">Average ranking position across queries. Lower is better.</t>
        </r>
      </text>
    </comment>
    <comment ref="F4" authorId="0">
      <text>
        <r>
          <rPr>
            <sz val="10"/>
            <rFont val="Arial"/>
            <family val="2"/>
          </rPr>
          <t xml:space="preserve">GA4 users whose session came from organic search.</t>
        </r>
      </text>
    </comment>
    <comment ref="G4" authorId="0">
      <text>
        <r>
          <rPr>
            <sz val="10"/>
            <rFont val="Arial"/>
            <family val="2"/>
          </rPr>
          <t xml:space="preserve">Leads from organic-search sessions, via your GA4 lead event.</t>
        </r>
      </text>
    </comment>
    <comment ref="H4" authorId="0">
      <text>
        <r>
          <rPr>
            <sz val="10"/>
            <rFont val="Arial"/>
            <family val="2"/>
          </rPr>
          <t xml:space="preserve">Organic leads divided by organic users.</t>
        </r>
      </text>
    </comment>
    <comment ref="I4" authorId="0">
      <text>
        <r>
          <rPr>
            <sz val="10"/>
            <rFont val="Arial"/>
            <family val="2"/>
          </rPr>
          <t xml:space="preserve">Number of keywords the site ranks for, from Ahrefs or Search Console.</t>
        </r>
      </text>
    </comment>
    <comment ref="J4" authorId="0">
      <text>
        <r>
          <rPr>
            <sz val="10"/>
            <rFont val="Arial"/>
            <family val="2"/>
          </rPr>
          <t xml:space="preserve">How many of your keywords sit in positions 1 to 3.</t>
        </r>
      </text>
    </comment>
    <comment ref="K4" authorId="0">
      <text>
        <r>
          <rPr>
            <sz val="10"/>
            <rFont val="Arial"/>
            <family val="2"/>
          </rPr>
          <t xml:space="preserve">Unique domains linking to your site, from Ahrefs.</t>
        </r>
      </text>
    </comment>
    <comment ref="L4" authorId="0">
      <text>
        <r>
          <rPr>
            <sz val="10"/>
            <rFont val="Arial"/>
            <family val="2"/>
          </rPr>
          <t xml:space="preserve">Ahrefs 0 to 100 score for backlink strength. Higher is stronger.</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Organic clicks from Google search, via Search Console.</t>
        </r>
      </text>
    </comment>
    <comment ref="C4" authorId="0">
      <text>
        <r>
          <rPr>
            <sz val="10"/>
            <rFont val="Arial"/>
            <family val="2"/>
          </rPr>
          <t xml:space="preserve">Times your pages appeared in unpaid search results.</t>
        </r>
      </text>
    </comment>
    <comment ref="D4" authorId="0">
      <text>
        <r>
          <rPr>
            <sz val="10"/>
            <rFont val="Arial"/>
            <family val="2"/>
          </rPr>
          <t xml:space="preserve">Organic click-through rate. Clicks divided by impressions.</t>
        </r>
      </text>
    </comment>
    <comment ref="E4" authorId="0">
      <text>
        <r>
          <rPr>
            <sz val="10"/>
            <rFont val="Arial"/>
            <family val="2"/>
          </rPr>
          <t xml:space="preserve">Average ranking position across queries. Lower is better.</t>
        </r>
      </text>
    </comment>
    <comment ref="F4" authorId="0">
      <text>
        <r>
          <rPr>
            <sz val="10"/>
            <rFont val="Arial"/>
            <family val="2"/>
          </rPr>
          <t xml:space="preserve">GA4 users whose session came from organic search.</t>
        </r>
      </text>
    </comment>
    <comment ref="H4" authorId="0">
      <text>
        <r>
          <rPr>
            <sz val="10"/>
            <rFont val="Arial"/>
            <family val="2"/>
          </rPr>
          <t xml:space="preserve">Organic leads divided by organic users.</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Organic clicks from Google search, via Search Console.</t>
        </r>
      </text>
    </comment>
    <comment ref="C4" authorId="0">
      <text>
        <r>
          <rPr>
            <sz val="10"/>
            <rFont val="Arial"/>
            <family val="2"/>
          </rPr>
          <t xml:space="preserve">Times your pages appeared in unpaid search results.</t>
        </r>
      </text>
    </comment>
    <comment ref="D4" authorId="0">
      <text>
        <r>
          <rPr>
            <sz val="10"/>
            <rFont val="Arial"/>
            <family val="2"/>
          </rPr>
          <t xml:space="preserve">Organic click-through rate. Clicks divided by impressions.</t>
        </r>
      </text>
    </comment>
    <comment ref="E4" authorId="0">
      <text>
        <r>
          <rPr>
            <sz val="10"/>
            <rFont val="Arial"/>
            <family val="2"/>
          </rPr>
          <t xml:space="preserve">Average ranking position across queries. Lower is better.</t>
        </r>
      </text>
    </comment>
    <comment ref="F4" authorId="0">
      <text>
        <r>
          <rPr>
            <sz val="10"/>
            <rFont val="Arial"/>
            <family val="2"/>
          </rPr>
          <t xml:space="preserve">The ranking bucket a keyword falls into: 1-3, 4-10, 11-20, 21-50, 50+.</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The ranking bucket a keyword falls into: 1-3, 4-10, 11-20, 21-50, 50+.</t>
        </r>
      </text>
    </comment>
    <comment ref="C4" authorId="0">
      <text>
        <r>
          <rPr>
            <sz val="10"/>
            <rFont val="Arial"/>
            <family val="2"/>
          </rPr>
          <t xml:space="preserve">Organic clicks from Google search, via Search Console.</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C4" authorId="0">
      <text>
        <r>
          <rPr>
            <sz val="10"/>
            <rFont val="Arial"/>
            <family val="2"/>
          </rPr>
          <t xml:space="preserve">Times your pages appeared in unpaid search results.</t>
        </r>
      </text>
    </comment>
    <comment ref="D4" authorId="0">
      <text>
        <r>
          <rPr>
            <sz val="10"/>
            <rFont val="Arial"/>
            <family val="2"/>
          </rPr>
          <t xml:space="preserve">Organic clicks from Google search, via Search Console.</t>
        </r>
      </text>
    </comment>
    <comment ref="E4" authorId="0">
      <text>
        <r>
          <rPr>
            <sz val="10"/>
            <rFont val="Arial"/>
            <family val="2"/>
          </rPr>
          <t xml:space="preserve">Organic click-through rate. Clicks divided by impressions.</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PageSpeed performance score out of 100 (mobile).</t>
        </r>
      </text>
    </comment>
    <comment ref="D4" authorId="0">
      <text>
        <r>
          <rPr>
            <sz val="10"/>
            <rFont val="Arial"/>
            <family val="2"/>
          </rPr>
          <t xml:space="preserve">Cumulative Layout Shift. Aim for 0.1 or less.</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Ahrefs 0 to 100 score for backlink strength. Higher is stronger.</t>
        </r>
      </text>
    </comment>
    <comment ref="C4" authorId="0">
      <text>
        <r>
          <rPr>
            <sz val="10"/>
            <rFont val="Arial"/>
            <family val="2"/>
          </rPr>
          <t xml:space="preserve">Unique domains linking to your site, from Ahrefs.</t>
        </r>
      </text>
    </comment>
  </commentList>
</comments>
</file>

<file path=xl/sharedStrings.xml><?xml version="1.0" encoding="utf-8"?>
<sst xmlns="http://schemas.openxmlformats.org/spreadsheetml/2006/main" count="364" uniqueCount="248">
  <si>
    <t xml:space="preserve">SEO Reporting Template</t>
  </si>
  <si>
    <t xml:space="preserve">Dedicated organic-search report. Green-themed, formula-driven, plug-and-play. Fill one tab a month, or let Claude pull it. Full steps and prompts are on the Instructions &amp; Prompts tab.</t>
  </si>
  <si>
    <t xml:space="preserve">How this works</t>
  </si>
  <si>
    <t xml:space="preserve">Monthly Summary is your single source of truth. Fill one row per month. The Executive Summary and Month-on-Month tabs read from it and recompute on their own.</t>
  </si>
  <si>
    <t xml:space="preserve">Blue cells are where you type. Grey cells are formulas. Leave the formulas alone.</t>
  </si>
  <si>
    <t xml:space="preserve">Percentages are stored as values. 2.5% is held as 0.025. For Average Position, lower is better.</t>
  </si>
  <si>
    <t xml:space="preserve">Where the data comes from</t>
  </si>
  <si>
    <t xml:space="preserve">Search Console gives clicks, impressions, CTR, and position. GA4 gives organic users and leads. Ahrefs gives ranking keywords, referring domains, and domain rating. PageSpeed gives Core Web Vitals.</t>
  </si>
  <si>
    <t xml:space="preserve">Tabs</t>
  </si>
  <si>
    <t xml:space="preserve">Instructions &amp; Prompts, Monthly Summary, Executive Summary, Month-on-Month, Top Pages, Top Keywords, Position Bands, Striking Distance, Core Web Vitals, Authority &amp; Backlinks, Flags &amp; Fixes, Definitions, Sources.</t>
  </si>
  <si>
    <t xml:space="preserve">Start on the Instructions &amp; Prompts tab. It has the full steps and the Claude prompts for every tab.</t>
  </si>
  <si>
    <t xml:space="preserve">Instructions &amp; Prompts</t>
  </si>
  <si>
    <t xml:space="preserve">Everything you need to fill this workbook, including the exact prompts to paste into Claude. No external docs needed.</t>
  </si>
  <si>
    <t xml:space="preserve">How this workbook works</t>
  </si>
  <si>
    <t xml:space="preserve">Monthly Summary is the single source of truth. Fill one row per month and the Executive Summary, Month-on-Month, and the rest read from it. Blue cells are inputs. Grey cells are formulas. Percentages are stored as values, so 2.5% is 0.025. For Average Position, a lower number is better.</t>
  </si>
  <si>
    <t xml:space="preserve">The fast way: let Claude pull the data</t>
  </si>
  <si>
    <t xml:space="preserve">SEO data lives in four places. Search Console and GA4 connect to Claude through the Windsor.ai connector. Ahrefs connects through its own Claude connector. PageSpeed runs on request. Turn the connectors on, then paste the prompts below one at a time. Replace &lt;my domain&gt; and &lt;GA4-ID&gt; the first time.</t>
  </si>
  <si>
    <t xml:space="preserve">Step 1. Connect and confirm</t>
  </si>
  <si>
    <t xml:space="preserve">Using the Windsor.ai connector, confirm my Search Console and GA4 accounts are connected, and show me the GA4 property ID.</t>
  </si>
  <si>
    <t xml:space="preserve">Step 2. Monthly Summary (fill this first)</t>
  </si>
  <si>
    <t xml:space="preserve">From Search Console for &lt;my domain&gt;, give clicks, impressions, and average position by month for the last 12 months. From GA4 &lt;GA4-ID&gt;, give organic-search users and my lead event by month. Lay it out as one row per month for the Monthly Summary tab. I will add ranking keywords, referring domains, and domain rating from Ahrefs.</t>
  </si>
  <si>
    <t xml:space="preserve">Step 3. Top Pages</t>
  </si>
  <si>
    <t xml:space="preserve">From Search Console for &lt;my domain&gt;, top pages by clicks for the latest month: page, clicks, impressions, average position. Join organic users and leads per page from GA4 &lt;GA4-ID&gt;.</t>
  </si>
  <si>
    <t xml:space="preserve">Step 4. Top Keywords</t>
  </si>
  <si>
    <t xml:space="preserve">From Search Console for &lt;my domain&gt;, top queries by clicks for the latest month: query, clicks, impressions, average position. Flag each as brand or non-brand.</t>
  </si>
  <si>
    <t xml:space="preserve">Step 5. Position Bands</t>
  </si>
  <si>
    <t xml:space="preserve">From Search Console for &lt;my domain&gt;, count ranking keywords and total clicks grouped into position bands 1-3, 4-10, 11-20, 21-50, and 50+ for the latest month.</t>
  </si>
  <si>
    <t xml:space="preserve">Step 6. Striking Distance (quick wins)</t>
  </si>
  <si>
    <t xml:space="preserve">From Search Console for &lt;my domain&gt;, queries ranking in average position 4 to 20 with high impressions and low clicks for the latest month: query, position, impressions, clicks, and the top page that ranks.</t>
  </si>
  <si>
    <t xml:space="preserve">Step 7. Core Web Vitals</t>
  </si>
  <si>
    <t xml:space="preserve">Run PageSpeed Insights on mobile for my homepage and top 10 pages. Return performance score, LCP, CLS, and INP for each.</t>
  </si>
  <si>
    <t xml:space="preserve">Step 8. Authority &amp; Backlinks</t>
  </si>
  <si>
    <t xml:space="preserve">From Ahrefs for &lt;my domain&gt;, give domain rating, referring domains, and total backlinks by month for the last 6 months, plus new and lost referring domains.</t>
  </si>
  <si>
    <t xml:space="preserve">Step 9. Write it into the workbook</t>
  </si>
  <si>
    <t xml:space="preserve">Write all of this into my SEO workbook, filling the blue input cells on each tab. Keep every formula and the formatting intact. Do not change the structure.</t>
  </si>
  <si>
    <t xml:space="preserve">Monthly refresh</t>
  </si>
  <si>
    <t xml:space="preserve">When a month closes, add one row to Monthly Summary and refresh the deep-dive tabs you care about with the prompts above. Then open Executive Summary and pick the new month from the dropdown.</t>
  </si>
  <si>
    <t xml:space="preserve">Reading the numbers</t>
  </si>
  <si>
    <t xml:space="preserve">Clicks and position are the headline. Rising impressions with flat clicks means you rank but do not earn the click, so titles and snippets are the lever. The Striking Distance tab is where the fastest wins hide: queries already on page one or two that a few internal links or a content refresh can push up. Watch non-brand share to prove SEO is winning new demand, not just catching your own brand searches.</t>
  </si>
  <si>
    <t xml:space="preserve">Monthly Summary</t>
  </si>
  <si>
    <t xml:space="preserve">One row per month. Blue cells are inputs (Search Console, GA4, Ahrefs). CTR and conversion rate are formulas. This tab feeds the Executive Summary and Month-on-Month.</t>
  </si>
  <si>
    <t xml:space="preserve">Month</t>
  </si>
  <si>
    <t xml:space="preserve">Clicks</t>
  </si>
  <si>
    <t xml:space="preserve">Impressions</t>
  </si>
  <si>
    <t xml:space="preserve">CTR</t>
  </si>
  <si>
    <t xml:space="preserve">Avg Position</t>
  </si>
  <si>
    <t xml:space="preserve">Organic Users</t>
  </si>
  <si>
    <t xml:space="preserve">Organic Leads</t>
  </si>
  <si>
    <t xml:space="preserve">Conv. Rate</t>
  </si>
  <si>
    <t xml:space="preserve">Ranking Keywords</t>
  </si>
  <si>
    <t xml:space="preserve">Keywords in Top 3</t>
  </si>
  <si>
    <t xml:space="preserve">Referring Domains</t>
  </si>
  <si>
    <t xml:space="preserve">Domain Rating</t>
  </si>
  <si>
    <t xml:space="preserve">Month 1</t>
  </si>
  <si>
    <t xml:space="preserve">Month 2</t>
  </si>
  <si>
    <t xml:space="preserve">Month 3</t>
  </si>
  <si>
    <t xml:space="preserve">Month 4</t>
  </si>
  <si>
    <t xml:space="preserve">Month 5</t>
  </si>
  <si>
    <t xml:space="preserve">Month 6</t>
  </si>
  <si>
    <t xml:space="preserve">Month 7</t>
  </si>
  <si>
    <t xml:space="preserve">Month 8</t>
  </si>
  <si>
    <t xml:space="preserve">Month 9</t>
  </si>
  <si>
    <t xml:space="preserve">Month 10</t>
  </si>
  <si>
    <t xml:space="preserve">Month 11</t>
  </si>
  <si>
    <t xml:space="preserve">Month 12</t>
  </si>
  <si>
    <t xml:space="preserve">Month 13</t>
  </si>
  <si>
    <t xml:space="preserve">Month 14</t>
  </si>
  <si>
    <t xml:space="preserve">Month 15</t>
  </si>
  <si>
    <t xml:space="preserve">Month 16</t>
  </si>
  <si>
    <t xml:space="preserve">Month 17</t>
  </si>
  <si>
    <t xml:space="preserve">Month 18</t>
  </si>
  <si>
    <t xml:space="preserve">Month 19</t>
  </si>
  <si>
    <t xml:space="preserve">Month 20</t>
  </si>
  <si>
    <t xml:space="preserve">Month 21</t>
  </si>
  <si>
    <t xml:space="preserve">Month 22</t>
  </si>
  <si>
    <t xml:space="preserve">Month 23</t>
  </si>
  <si>
    <t xml:space="preserve">Month 24</t>
  </si>
  <si>
    <t xml:space="preserve">Fill the blue cells each month. Clicks and average position are the headline pair: clicks up with position improving is healthy growth. Clicks flat while impressions rise means you rank but lose the click, so work on titles and snippets. Domain rating and referring domains move slowly, so judge them quarter on quarter.</t>
  </si>
  <si>
    <t xml:space="preserve">Executive Summary</t>
  </si>
  <si>
    <t xml:space="preserve">Pick a month. The cards show that month versus the one before it. Everything reads from Monthly Summary. For Average Position, a lower number is better.</t>
  </si>
  <si>
    <t xml:space="preserve">Pick a month:</t>
  </si>
  <si>
    <t xml:space="preserve">Metric</t>
  </si>
  <si>
    <t xml:space="preserve">Selected month</t>
  </si>
  <si>
    <t xml:space="preserve">Prior month</t>
  </si>
  <si>
    <t xml:space="preserve">Change</t>
  </si>
  <si>
    <t xml:space="preserve">Lead with clicks and leads. Watch out for the trap where impressions and rankings rise but clicks do not: that is a snippet problem, not a ranking problem. Average Position improving shows as a negative change here, which is the good direction. Domain rating and referring domains move slowly, so small monthly changes are normal.</t>
  </si>
  <si>
    <t xml:space="preserve">Month-on-Month</t>
  </si>
  <si>
    <t xml:space="preserve">Each metric shows the month's actual value and the change versus the prior month. Volume metrics change in %, rates in percentage points, position and domain rating in absolute change. Blank rows are months not filled yet.</t>
  </si>
  <si>
    <t xml:space="preserve">This month</t>
  </si>
  <si>
    <t xml:space="preserve">vs prev</t>
  </si>
  <si>
    <t xml:space="preserve">vs prev (pp)</t>
  </si>
  <si>
    <t xml:space="preserve">Note: green is up, red is down on the change columns. For Average Position, down is the good direction even though it prints red. Empty rows are months you have not filled yet.</t>
  </si>
  <si>
    <t xml:space="preserve">Top Pages</t>
  </si>
  <si>
    <t xml:space="preserve">Your best organic pages for the latest month. Blue cells are inputs. CTR and conversion rate are formulas. Sort by clicks to find your workhorses.</t>
  </si>
  <si>
    <t xml:space="preserve">Page</t>
  </si>
  <si>
    <t xml:space="preserve">Leads</t>
  </si>
  <si>
    <t xml:space="preserve">/</t>
  </si>
  <si>
    <t xml:space="preserve">/product-a</t>
  </si>
  <si>
    <t xml:space="preserve">/blog/seo-guide</t>
  </si>
  <si>
    <t xml:space="preserve">/pricing</t>
  </si>
  <si>
    <t xml:space="preserve">/product-b</t>
  </si>
  <si>
    <t xml:space="preserve">The homepage and product pages usually carry clicks and leads; blog posts carry traffic that rarely converts. A page with high clicks and a weak position is your biggest upside: small ranking gains there move real numbers. Link to your converting pages from your high-traffic posts.</t>
  </si>
  <si>
    <t xml:space="preserve">Top Keywords</t>
  </si>
  <si>
    <t xml:space="preserve">Your best organic queries for the latest month. Blue cells are inputs. CTR and position band are formulas.</t>
  </si>
  <si>
    <t xml:space="preserve">Query</t>
  </si>
  <si>
    <t xml:space="preserve">Position Band</t>
  </si>
  <si>
    <t xml:space="preserve">Type</t>
  </si>
  <si>
    <t xml:space="preserve">Intent</t>
  </si>
  <si>
    <t xml:space="preserve">your brand</t>
  </si>
  <si>
    <t xml:space="preserve">Brand</t>
  </si>
  <si>
    <t xml:space="preserve">Navigational</t>
  </si>
  <si>
    <t xml:space="preserve">product a software</t>
  </si>
  <si>
    <t xml:space="preserve">Non-brand</t>
  </si>
  <si>
    <t xml:space="preserve">Commercial</t>
  </si>
  <si>
    <t xml:space="preserve">what is product b</t>
  </si>
  <si>
    <t xml:space="preserve">Informational</t>
  </si>
  <si>
    <t xml:space="preserve">product a pricing</t>
  </si>
  <si>
    <t xml:space="preserve">Transactional</t>
  </si>
  <si>
    <t xml:space="preserve">best product b tool</t>
  </si>
  <si>
    <t xml:space="preserve">Split brand from non-brand before you celebrate. Brand queries convert well but prove little about SEO reach. Non-brand clicks are the real growth signal. Sort by impressions with a weak position to find queries you almost rank for but do not yet earn.</t>
  </si>
  <si>
    <t xml:space="preserve">Position Bands</t>
  </si>
  <si>
    <t xml:space="preserve">How your ranking keywords spread across the SERP for the latest month. Blue cells are inputs. Shares are formulas.</t>
  </si>
  <si>
    <t xml:space="preserve">Keywords</t>
  </si>
  <si>
    <t xml:space="preserve">Share of Keywords</t>
  </si>
  <si>
    <t xml:space="preserve">Share of Clicks</t>
  </si>
  <si>
    <t xml:space="preserve">1-3</t>
  </si>
  <si>
    <t xml:space="preserve">4-10</t>
  </si>
  <si>
    <t xml:space="preserve">11-20</t>
  </si>
  <si>
    <t xml:space="preserve">21-50</t>
  </si>
  <si>
    <t xml:space="preserve">50+</t>
  </si>
  <si>
    <t xml:space="preserve">TOTAL</t>
  </si>
  <si>
    <t xml:space="preserve">Most keywords sit on page two and beyond, but almost all clicks come from positions 1 to 3. The money is in the 4-10 and 11-20 bands: those are close enough to move with internal links and content refreshes. Track this monthly to see keywords climbing toward the top three.</t>
  </si>
  <si>
    <t xml:space="preserve">Striking Distance</t>
  </si>
  <si>
    <t xml:space="preserve">Queries ranking in positions 4 to 20: page one or two, close enough to push up. Blue cells are inputs. CTR is a formula. Use the Action column to plan the fix.</t>
  </si>
  <si>
    <t xml:space="preserve">Current Position</t>
  </si>
  <si>
    <t xml:space="preserve">Target Page</t>
  </si>
  <si>
    <t xml:space="preserve">Monthly Searches</t>
  </si>
  <si>
    <t xml:space="preserve">Action</t>
  </si>
  <si>
    <t xml:space="preserve">product a integration</t>
  </si>
  <si>
    <t xml:space="preserve">1900</t>
  </si>
  <si>
    <t xml:space="preserve">Add internal links from blog</t>
  </si>
  <si>
    <t xml:space="preserve">product b pricing</t>
  </si>
  <si>
    <t xml:space="preserve">1300</t>
  </si>
  <si>
    <t xml:space="preserve">Improve title and meta</t>
  </si>
  <si>
    <t xml:space="preserve">product a vs competitor</t>
  </si>
  <si>
    <t xml:space="preserve">/compare</t>
  </si>
  <si>
    <t xml:space="preserve">2400</t>
  </si>
  <si>
    <t xml:space="preserve">Expand the comparison page</t>
  </si>
  <si>
    <t xml:space="preserve">how to use product b</t>
  </si>
  <si>
    <t xml:space="preserve">/blog/how-to</t>
  </si>
  <si>
    <t xml:space="preserve">880</t>
  </si>
  <si>
    <t xml:space="preserve">Refresh content, add FAQ</t>
  </si>
  <si>
    <t xml:space="preserve">product a for enterprise</t>
  </si>
  <si>
    <t xml:space="preserve">/enterprise</t>
  </si>
  <si>
    <t xml:space="preserve">590</t>
  </si>
  <si>
    <t xml:space="preserve">Build a dedicated page</t>
  </si>
  <si>
    <t xml:space="preserve">This is the fastest path to more traffic. These queries already rank on page one or two, so you are not starting from zero. Prioritize the ones with the most impressions and the weakest CTR: a few internal links, a sharper title, or a content refresh can move them into the click-earning positions within weeks.</t>
  </si>
  <si>
    <t xml:space="preserve">Core Web Vitals</t>
  </si>
  <si>
    <t xml:space="preserve">Page experience for your key pages (mobile). Blue cells are inputs from PageSpeed. Status is a formula.</t>
  </si>
  <si>
    <t xml:space="preserve">Performance</t>
  </si>
  <si>
    <t xml:space="preserve">LCP (s)</t>
  </si>
  <si>
    <t xml:space="preserve">CLS</t>
  </si>
  <si>
    <t xml:space="preserve">INP (ms)</t>
  </si>
  <si>
    <t xml:space="preserve">Status</t>
  </si>
  <si>
    <t xml:space="preserve">Core Web Vitals are a ranking factor and a conversion factor. LCP is usually the one to chase first: compress hero images, defer scripts, and cache. A page marked Poor on a high-traffic URL is worth a developer ticket this sprint, not next quarter.</t>
  </si>
  <si>
    <t xml:space="preserve">Authority &amp; Backlinks</t>
  </si>
  <si>
    <t xml:space="preserve">Link growth over time, from Ahrefs. Blue cells are inputs. Net new is a formula.</t>
  </si>
  <si>
    <t xml:space="preserve">Total Backlinks</t>
  </si>
  <si>
    <t xml:space="preserve">New Ref Domains</t>
  </si>
  <si>
    <t xml:space="preserve">Lost Ref Domains</t>
  </si>
  <si>
    <t xml:space="preserve">Net New</t>
  </si>
  <si>
    <t xml:space="preserve">Links move slowly, so read this quarter on quarter, not week on week. Net new referring domains is the number that matters: steady positive net new is what lifts domain rating over time. A month of heavy losses is worth investigating, since it often means expired pages or a cleanup on a linking site.</t>
  </si>
  <si>
    <t xml:space="preserve">Flags &amp; Fixes</t>
  </si>
  <si>
    <t xml:space="preserve">The SEO issues worth checking every month, what each means, and the fix. Replace the sample notes with what you find.</t>
  </si>
  <si>
    <t xml:space="preserve">Priority</t>
  </si>
  <si>
    <t xml:space="preserve">Flag</t>
  </si>
  <si>
    <t xml:space="preserve">What it means</t>
  </si>
  <si>
    <t xml:space="preserve">Where to check</t>
  </si>
  <si>
    <t xml:space="preserve">Fix</t>
  </si>
  <si>
    <t xml:space="preserve">High</t>
  </si>
  <si>
    <t xml:space="preserve">Clicks falling</t>
  </si>
  <si>
    <t xml:space="preserve">Organic traffic is dropping month on month.</t>
  </si>
  <si>
    <t xml:space="preserve">Monthly Summary, Month-on-Month</t>
  </si>
  <si>
    <t xml:space="preserve">Check for ranking drops, lost pages, or a Google update. Compare top pages period on period.</t>
  </si>
  <si>
    <t xml:space="preserve">Impressions up, clicks flat</t>
  </si>
  <si>
    <t xml:space="preserve">You rank but do not earn the click.</t>
  </si>
  <si>
    <t xml:space="preserve">Monthly Summary (CTR)</t>
  </si>
  <si>
    <t xml:space="preserve">Rewrite titles and meta descriptions on high-impression pages. Add structured data for rich results.</t>
  </si>
  <si>
    <t xml:space="preserve">Core Web Vitals poor</t>
  </si>
  <si>
    <t xml:space="preserve">Slow or unstable pages hurt rankings and conversions.</t>
  </si>
  <si>
    <t xml:space="preserve">Fix LCP first: compress images, defer scripts, cache. Raise a developer ticket for Poor pages.</t>
  </si>
  <si>
    <t xml:space="preserve">Medium</t>
  </si>
  <si>
    <t xml:space="preserve">Striking-distance keywords ignored</t>
  </si>
  <si>
    <t xml:space="preserve">Page-one and page-two queries left unoptimized.</t>
  </si>
  <si>
    <t xml:space="preserve">Add internal links, refresh content, and sharpen titles on those target pages.</t>
  </si>
  <si>
    <t xml:space="preserve">Brand share too high</t>
  </si>
  <si>
    <t xml:space="preserve">Most clicks come from your own brand, not new demand.</t>
  </si>
  <si>
    <t xml:space="preserve">Build non-brand content for commercial and informational queries in your space.</t>
  </si>
  <si>
    <t xml:space="preserve">Referring domains lost</t>
  </si>
  <si>
    <t xml:space="preserve">More links lost than gained over the period.</t>
  </si>
  <si>
    <t xml:space="preserve">Investigate lost links. Reclaim or replace high-value ones. Keep publishing link-worthy content.</t>
  </si>
  <si>
    <t xml:space="preserve">Definitions</t>
  </si>
  <si>
    <t xml:space="preserve">Plain-language meaning of every metric in this workbook.</t>
  </si>
  <si>
    <t xml:space="preserve">Good direction</t>
  </si>
  <si>
    <t xml:space="preserve">Organic clicks from Google search, via Search Console.</t>
  </si>
  <si>
    <t xml:space="preserve">Higher</t>
  </si>
  <si>
    <t xml:space="preserve">Times your pages appeared in unpaid search results.</t>
  </si>
  <si>
    <t xml:space="preserve">Higher with intent</t>
  </si>
  <si>
    <t xml:space="preserve">Organic click-through rate. Clicks divided by impressions.</t>
  </si>
  <si>
    <t xml:space="preserve">Average ranking across queries. Lower is better.</t>
  </si>
  <si>
    <t xml:space="preserve">Lower</t>
  </si>
  <si>
    <t xml:space="preserve">GA4 users whose session came from organic search.</t>
  </si>
  <si>
    <t xml:space="preserve">Leads from organic sessions, via your GA4 lead event.</t>
  </si>
  <si>
    <t xml:space="preserve">Organic leads divided by organic users.</t>
  </si>
  <si>
    <t xml:space="preserve">Number of keywords the site ranks for.</t>
  </si>
  <si>
    <t xml:space="preserve">How many keywords sit in positions 1 to 3.</t>
  </si>
  <si>
    <t xml:space="preserve">The ranking bucket: 1-3, 4-10, 11-20, 21-50, 50+.</t>
  </si>
  <si>
    <t xml:space="preserve">Move up</t>
  </si>
  <si>
    <t xml:space="preserve">Unique domains linking to your site.</t>
  </si>
  <si>
    <t xml:space="preserve">Ahrefs 0 to 100 backlink-strength score.</t>
  </si>
  <si>
    <t xml:space="preserve">Queries in positions 4 to 20, close enough to push up.</t>
  </si>
  <si>
    <t xml:space="preserve">Optimize</t>
  </si>
  <si>
    <t xml:space="preserve">LCP</t>
  </si>
  <si>
    <t xml:space="preserve">Largest Contentful Paint, seconds. Aim 2.5 or less.</t>
  </si>
  <si>
    <t xml:space="preserve">Cumulative Layout Shift. Aim 0.1 or less.</t>
  </si>
  <si>
    <t xml:space="preserve">INP</t>
  </si>
  <si>
    <t xml:space="preserve">Interaction to Next Paint, ms. Aim 200 or less.</t>
  </si>
  <si>
    <t xml:space="preserve">Sources</t>
  </si>
  <si>
    <t xml:space="preserve">Where the data comes from and how to pull it. Replace the placeholders with yours.</t>
  </si>
  <si>
    <t xml:space="preserve">Source</t>
  </si>
  <si>
    <t xml:space="preserve">Account</t>
  </si>
  <si>
    <t xml:space="preserve">Open</t>
  </si>
  <si>
    <t xml:space="preserve">What you get</t>
  </si>
  <si>
    <t xml:space="preserve">Google Search Console</t>
  </si>
  <si>
    <t xml:space="preserve">&lt;your verified domain property&gt;</t>
  </si>
  <si>
    <t xml:space="preserve">Clicks, impressions, CTR, average position, queries, and pages</t>
  </si>
  <si>
    <t xml:space="preserve">Google Analytics 4</t>
  </si>
  <si>
    <t xml:space="preserve">Property &lt;YOUR-GA4-ID&gt;</t>
  </si>
  <si>
    <t xml:space="preserve">Organic-search users, engagement, and leads</t>
  </si>
  <si>
    <t xml:space="preserve">Ahrefs</t>
  </si>
  <si>
    <t xml:space="preserve">&lt;your domain&gt;</t>
  </si>
  <si>
    <t xml:space="preserve">Ranking keywords, referring domains, domain rating, backlinks, striking distance</t>
  </si>
  <si>
    <t xml:space="preserve">PageSpeed Insights</t>
  </si>
  <si>
    <t xml:space="preserve">Per-URL mobile audit</t>
  </si>
  <si>
    <t xml:space="preserve">Performance score, LCP, CLS, INP</t>
  </si>
  <si>
    <t xml:space="preserve">Windsor.ai</t>
  </si>
  <si>
    <t xml:space="preserve">Connector that feeds Claude</t>
  </si>
  <si>
    <t xml:space="preserve">Pulls Search Console and GA4 into this workbook through Claude</t>
  </si>
</sst>
</file>

<file path=xl/styles.xml><?xml version="1.0" encoding="utf-8"?>
<styleSheet xmlns="http://schemas.openxmlformats.org/spreadsheetml/2006/main">
  <numFmts count="13">
    <numFmt numFmtId="164" formatCode="General"/>
    <numFmt numFmtId="165" formatCode="#,##0"/>
    <numFmt numFmtId="166" formatCode="0.00%"/>
    <numFmt numFmtId="167" formatCode="0.0"/>
    <numFmt numFmtId="168" formatCode="0"/>
    <numFmt numFmtId="169" formatCode="General"/>
    <numFmt numFmtId="170" formatCode="\+0.0%;\-0.0%;0.0%"/>
    <numFmt numFmtId="171" formatCode="\+0.0;\-0.0;0.0"/>
    <numFmt numFmtId="172" formatCode="\+0;\-0;0"/>
    <numFmt numFmtId="173" formatCode="@"/>
    <numFmt numFmtId="174" formatCode="\+0.00%;\-0.00%;0.00%"/>
    <numFmt numFmtId="175" formatCode="0.0%"/>
    <numFmt numFmtId="176" formatCode="0.00"/>
  </numFmts>
  <fonts count="2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FFFFFF"/>
      <name val="Arial"/>
      <family val="0"/>
      <charset val="1"/>
    </font>
    <font>
      <b val="true"/>
      <sz val="12"/>
      <color rgb="FF00793C"/>
      <name val="Arial"/>
      <family val="0"/>
      <charset val="1"/>
    </font>
    <font>
      <sz val="10"/>
      <color rgb="FF1F2937"/>
      <name val="Arial"/>
      <family val="0"/>
      <charset val="1"/>
    </font>
    <font>
      <b val="true"/>
      <sz val="10"/>
      <color rgb="FF1F2937"/>
      <name val="Arial"/>
      <family val="0"/>
      <charset val="1"/>
    </font>
    <font>
      <b val="true"/>
      <sz val="12"/>
      <color rgb="FFFFFFFF"/>
      <name val="Arial"/>
      <family val="0"/>
      <charset val="1"/>
    </font>
    <font>
      <sz val="10"/>
      <color rgb="FF1F2937"/>
      <name val="Consolas"/>
      <family val="0"/>
      <charset val="1"/>
    </font>
    <font>
      <b val="true"/>
      <sz val="10"/>
      <color rgb="FFFFFFFF"/>
      <name val="Arial"/>
      <family val="0"/>
      <charset val="1"/>
    </font>
    <font>
      <sz val="10"/>
      <color rgb="FF0000FF"/>
      <name val="Arial"/>
      <family val="0"/>
      <charset val="1"/>
    </font>
    <font>
      <sz val="10"/>
      <color rgb="FF6B7280"/>
      <name val="Arial"/>
      <family val="0"/>
      <charset val="1"/>
    </font>
    <font>
      <sz val="9"/>
      <color rgb="FF00793C"/>
      <name val="Arial"/>
      <family val="0"/>
      <charset val="1"/>
    </font>
    <font>
      <sz val="10"/>
      <name val="Arial"/>
      <family val="2"/>
    </font>
    <font>
      <sz val="9"/>
      <color rgb="FFFFFFFF"/>
      <name val="Arial"/>
      <family val="0"/>
      <charset val="1"/>
    </font>
    <font>
      <b val="true"/>
      <sz val="9"/>
      <color rgb="FFFFFFFF"/>
      <name val="Arial"/>
      <family val="0"/>
      <charset val="1"/>
    </font>
    <font>
      <b val="true"/>
      <sz val="10"/>
      <color rgb="FF008000"/>
      <name val="Arial"/>
      <family val="0"/>
      <charset val="1"/>
    </font>
    <font>
      <i val="true"/>
      <sz val="9"/>
      <color rgb="FF6B7280"/>
      <name val="Arial"/>
      <family val="0"/>
      <charset val="1"/>
    </font>
    <font>
      <u val="single"/>
      <sz val="10"/>
      <color rgb="FF008000"/>
      <name val="Arial"/>
      <family val="0"/>
      <charset val="1"/>
    </font>
    <font>
      <sz val="9"/>
      <color rgb="FFB7791F"/>
      <name val="Arial"/>
      <family val="0"/>
      <charset val="1"/>
    </font>
    <font>
      <b val="true"/>
      <sz val="10"/>
      <color rgb="FFC00000"/>
      <name val="Arial"/>
      <family val="0"/>
      <charset val="1"/>
    </font>
    <font>
      <b val="true"/>
      <sz val="10"/>
      <color rgb="FFB7791F"/>
      <name val="Arial"/>
      <family val="0"/>
      <charset val="1"/>
    </font>
  </fonts>
  <fills count="7">
    <fill>
      <patternFill patternType="none"/>
    </fill>
    <fill>
      <patternFill patternType="gray125"/>
    </fill>
    <fill>
      <patternFill patternType="solid">
        <fgColor rgb="FF00793C"/>
        <bgColor rgb="FF008000"/>
      </patternFill>
    </fill>
    <fill>
      <patternFill patternType="solid">
        <fgColor rgb="FF00A651"/>
        <bgColor rgb="FF008080"/>
      </patternFill>
    </fill>
    <fill>
      <patternFill patternType="solid">
        <fgColor rgb="FFEAF2FF"/>
        <bgColor rgb="FFE8F6EE"/>
      </patternFill>
    </fill>
    <fill>
      <patternFill patternType="solid">
        <fgColor rgb="FFE8F6EE"/>
        <bgColor rgb="FFEAF2FF"/>
      </patternFill>
    </fill>
    <fill>
      <patternFill patternType="solid">
        <fgColor rgb="FFFFF7CC"/>
        <bgColor rgb="FFFFF3D6"/>
      </patternFill>
    </fill>
  </fills>
  <borders count="3">
    <border diagonalUp="false" diagonalDown="false">
      <left/>
      <right/>
      <top/>
      <bottom/>
      <diagonal/>
    </border>
    <border diagonalUp="false" diagonalDown="false">
      <left style="thin">
        <color rgb="FF00A651"/>
      </left>
      <right style="thin">
        <color rgb="FF00A651"/>
      </right>
      <top style="thin">
        <color rgb="FF00A651"/>
      </top>
      <bottom style="thin">
        <color rgb="FF00A651"/>
      </bottom>
      <diagonal/>
    </border>
    <border diagonalUp="false" diagonalDown="false">
      <left style="thin">
        <color rgb="FFD7E5DC"/>
      </left>
      <right style="thin">
        <color rgb="FFD7E5DC"/>
      </right>
      <top style="thin">
        <color rgb="FFD7E5DC"/>
      </top>
      <bottom style="thin">
        <color rgb="FFD7E5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9" fillId="2" borderId="0" xfId="0" applyFont="true" applyBorder="true" applyAlignment="true" applyProtection="false">
      <alignment horizontal="left" vertical="center" textRotation="0" wrapText="false" indent="1"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11" fillId="3" borderId="2"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5" fontId="12" fillId="4" borderId="2" xfId="0" applyFont="true" applyBorder="true" applyAlignment="true" applyProtection="false">
      <alignment horizontal="right" vertical="center" textRotation="0" wrapText="false" indent="0" shrinkToFit="false"/>
      <protection locked="true" hidden="false"/>
    </xf>
    <xf numFmtId="166" fontId="13" fillId="0" borderId="2" xfId="0" applyFont="true" applyBorder="true" applyAlignment="true" applyProtection="false">
      <alignment horizontal="right" vertical="center" textRotation="0" wrapText="false" indent="0" shrinkToFit="false"/>
      <protection locked="true" hidden="false"/>
    </xf>
    <xf numFmtId="167" fontId="12" fillId="4" borderId="2" xfId="0" applyFont="true" applyBorder="true" applyAlignment="true" applyProtection="false">
      <alignment horizontal="right" vertical="center" textRotation="0" wrapText="false" indent="0" shrinkToFit="false"/>
      <protection locked="true" hidden="false"/>
    </xf>
    <xf numFmtId="168" fontId="12" fillId="4" borderId="2" xfId="0" applyFont="true" applyBorder="true" applyAlignment="true" applyProtection="false">
      <alignment horizontal="right" vertical="center" textRotation="0" wrapText="false" indent="0" shrinkToFit="false"/>
      <protection locked="true" hidden="false"/>
    </xf>
    <xf numFmtId="164" fontId="14" fillId="5" borderId="1" xfId="0" applyFont="true" applyBorder="true" applyAlignment="true" applyProtection="false">
      <alignment horizontal="left" vertical="top" textRotation="0" wrapText="true" indent="0" shrinkToFit="false"/>
      <protection locked="true" hidden="false"/>
    </xf>
    <xf numFmtId="169" fontId="1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left" vertical="center" textRotation="0" wrapText="true" indent="0" shrinkToFit="false"/>
      <protection locked="true" hidden="false"/>
    </xf>
    <xf numFmtId="165" fontId="7" fillId="0" borderId="2" xfId="0" applyFont="true" applyBorder="true" applyAlignment="true" applyProtection="false">
      <alignment horizontal="right" vertical="center" textRotation="0" wrapText="false" indent="0" shrinkToFit="false"/>
      <protection locked="true" hidden="false"/>
    </xf>
    <xf numFmtId="170" fontId="13" fillId="0" borderId="2" xfId="0" applyFont="true" applyBorder="true" applyAlignment="true" applyProtection="false">
      <alignment horizontal="right" vertical="center" textRotation="0" wrapText="false" indent="0" shrinkToFit="false"/>
      <protection locked="true" hidden="false"/>
    </xf>
    <xf numFmtId="166" fontId="7" fillId="0" borderId="2" xfId="0" applyFont="true" applyBorder="true" applyAlignment="true" applyProtection="false">
      <alignment horizontal="right" vertical="center" textRotation="0" wrapText="false" indent="0" shrinkToFit="false"/>
      <protection locked="true" hidden="false"/>
    </xf>
    <xf numFmtId="167" fontId="7" fillId="0" borderId="2" xfId="0" applyFont="true" applyBorder="true" applyAlignment="true" applyProtection="false">
      <alignment horizontal="right" vertical="center" textRotation="0" wrapText="false" indent="0" shrinkToFit="false"/>
      <protection locked="true" hidden="false"/>
    </xf>
    <xf numFmtId="171" fontId="13" fillId="0" borderId="2" xfId="0" applyFont="true" applyBorder="true" applyAlignment="true" applyProtection="false">
      <alignment horizontal="right" vertical="center" textRotation="0" wrapText="false" indent="0" shrinkToFit="false"/>
      <protection locked="true" hidden="false"/>
    </xf>
    <xf numFmtId="168" fontId="7" fillId="0" borderId="2" xfId="0" applyFont="true" applyBorder="true" applyAlignment="true" applyProtection="false">
      <alignment horizontal="right" vertical="center" textRotation="0" wrapText="false" indent="0" shrinkToFit="false"/>
      <protection locked="true" hidden="false"/>
    </xf>
    <xf numFmtId="172" fontId="13" fillId="0" borderId="2" xfId="0" applyFont="true" applyBorder="true" applyAlignment="true" applyProtection="false">
      <alignment horizontal="right" vertical="center" textRotation="0" wrapText="false" indent="0" shrinkToFit="false"/>
      <protection locked="true" hidden="false"/>
    </xf>
    <xf numFmtId="164" fontId="17" fillId="3" borderId="2" xfId="0" applyFont="true" applyBorder="true" applyAlignment="true" applyProtection="false">
      <alignment horizontal="center" vertical="center" textRotation="0" wrapText="true" indent="0" shrinkToFit="false"/>
      <protection locked="true" hidden="false"/>
    </xf>
    <xf numFmtId="164" fontId="18" fillId="0" borderId="2" xfId="0" applyFont="true" applyBorder="true" applyAlignment="true" applyProtection="false">
      <alignment horizontal="left" vertical="center" textRotation="0" wrapText="true" indent="0" shrinkToFit="false"/>
      <protection locked="true" hidden="false"/>
    </xf>
    <xf numFmtId="173" fontId="13" fillId="0" borderId="2" xfId="0" applyFont="true" applyBorder="true" applyAlignment="true" applyProtection="false">
      <alignment horizontal="right" vertical="center" textRotation="0" wrapText="false" indent="0" shrinkToFit="false"/>
      <protection locked="true" hidden="false"/>
    </xf>
    <xf numFmtId="174" fontId="13" fillId="0" borderId="2"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left" vertical="center" textRotation="0" wrapText="true" indent="0" shrinkToFit="false"/>
      <protection locked="true" hidden="false"/>
    </xf>
    <xf numFmtId="164" fontId="20" fillId="4" borderId="2" xfId="0" applyFont="true" applyBorder="true" applyAlignment="true" applyProtection="false">
      <alignment horizontal="left" vertical="center" textRotation="0" wrapText="true" indent="0" shrinkToFit="false"/>
      <protection locked="true" hidden="false"/>
    </xf>
    <xf numFmtId="173" fontId="13" fillId="0" borderId="2" xfId="0" applyFont="true" applyBorder="true" applyAlignment="true" applyProtection="false">
      <alignment horizontal="center" vertical="center" textRotation="0" wrapText="true" indent="0" shrinkToFit="false"/>
      <protection locked="true" hidden="false"/>
    </xf>
    <xf numFmtId="173" fontId="12" fillId="4" borderId="2"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75" fontId="13" fillId="0" borderId="2" xfId="0" applyFont="true" applyBorder="true" applyAlignment="true" applyProtection="false">
      <alignment horizontal="right" vertical="center" textRotation="0" wrapText="false" indent="0" shrinkToFit="false"/>
      <protection locked="true" hidden="false"/>
    </xf>
    <xf numFmtId="164" fontId="11" fillId="2" borderId="2" xfId="0" applyFont="true" applyBorder="true" applyAlignment="true" applyProtection="false">
      <alignment horizontal="left" vertical="center" textRotation="0" wrapText="true" indent="0" shrinkToFit="false"/>
      <protection locked="true" hidden="false"/>
    </xf>
    <xf numFmtId="165" fontId="11" fillId="2" borderId="2" xfId="0" applyFont="true" applyBorder="true" applyAlignment="true" applyProtection="false">
      <alignment horizontal="right"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7" fontId="12" fillId="4" borderId="2" xfId="0" applyFont="true" applyBorder="true" applyAlignment="true" applyProtection="false">
      <alignment horizontal="center" vertical="center" textRotation="0" wrapText="true" indent="0" shrinkToFit="false"/>
      <protection locked="true" hidden="false"/>
    </xf>
    <xf numFmtId="173" fontId="12" fillId="4" borderId="2" xfId="0" applyFont="true" applyBorder="true" applyAlignment="true" applyProtection="false">
      <alignment horizontal="right" vertical="center" textRotation="0" wrapText="false" indent="0" shrinkToFit="false"/>
      <protection locked="true" hidden="false"/>
    </xf>
    <xf numFmtId="168" fontId="12" fillId="4" borderId="2" xfId="0" applyFont="true" applyBorder="true" applyAlignment="true" applyProtection="false">
      <alignment horizontal="center" vertical="center" textRotation="0" wrapText="true" indent="0" shrinkToFit="false"/>
      <protection locked="true" hidden="false"/>
    </xf>
    <xf numFmtId="176" fontId="12" fillId="4" borderId="2" xfId="0" applyFont="true" applyBorder="true" applyAlignment="true" applyProtection="false">
      <alignment horizontal="center" vertical="center" textRotation="0" wrapText="true" indent="0" shrinkToFit="false"/>
      <protection locked="true" hidden="false"/>
    </xf>
    <xf numFmtId="164" fontId="21" fillId="6" borderId="1" xfId="0" applyFont="true" applyBorder="true" applyAlignment="true" applyProtection="false">
      <alignment horizontal="left" vertical="top" textRotation="0" wrapText="true" indent="0" shrinkToFit="false"/>
      <protection locked="true" hidden="false"/>
    </xf>
    <xf numFmtId="164" fontId="22" fillId="0"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23" fillId="0"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20" fillId="0"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fgColor rgb="FF00A651"/>
          <bgColor rgb="FF000000"/>
        </patternFill>
      </fill>
    </dxf>
    <dxf>
      <fill>
        <patternFill patternType="solid">
          <fgColor rgb="FFEAF2FF"/>
          <bgColor rgb="FF000000"/>
        </patternFill>
      </fill>
    </dxf>
    <dxf>
      <fill>
        <patternFill patternType="solid">
          <fgColor rgb="FF0000FF"/>
          <bgColor rgb="FF000000"/>
        </patternFill>
      </fill>
    </dxf>
    <dxf>
      <fill>
        <patternFill patternType="solid">
          <fgColor rgb="FFFFFFFF"/>
          <bgColor rgb="FF000000"/>
        </patternFill>
      </fill>
    </dxf>
    <dxf>
      <fill>
        <patternFill patternType="solid">
          <bgColor rgb="FF000000"/>
        </patternFill>
      </fill>
    </dxf>
    <dxf>
      <fill>
        <patternFill patternType="solid">
          <fgColor rgb="FF6B7280"/>
          <bgColor rgb="FF000000"/>
        </patternFill>
      </fill>
    </dxf>
    <dxf>
      <font>
        <name val="Arial"/>
        <charset val="1"/>
        <family val="0"/>
        <color rgb="FF00793C"/>
      </font>
    </dxf>
    <dxf>
      <font>
        <name val="Arial"/>
        <charset val="1"/>
        <family val="0"/>
        <color rgb="FFC00000"/>
      </font>
    </dxf>
    <dxf>
      <fill>
        <patternFill patternType="solid">
          <fgColor rgb="FF008000"/>
          <bgColor rgb="FF000000"/>
        </patternFill>
      </fill>
    </dxf>
    <dxf>
      <fill>
        <patternFill patternType="solid">
          <fgColor rgb="FFDCF3E4"/>
          <bgColor rgb="FF000000"/>
        </patternFill>
      </fill>
    </dxf>
    <dxf>
      <fill>
        <patternFill patternType="solid">
          <fgColor rgb="FFFFF3D6"/>
          <bgColor rgb="FF000000"/>
        </patternFill>
      </fill>
    </dxf>
    <dxf>
      <fill>
        <patternFill patternType="solid">
          <fgColor rgb="FF00793C"/>
          <bgColor rgb="FF000000"/>
        </patternFill>
      </fill>
    </dxf>
    <dxf>
      <fill>
        <patternFill patternType="solid">
          <fgColor rgb="FFB7791F"/>
          <bgColor rgb="FF000000"/>
        </patternFill>
      </fill>
    </dxf>
    <dxf>
      <font>
        <name val="Arial"/>
        <charset val="1"/>
        <family val="0"/>
        <b val="1"/>
        <color rgb="FFC00000"/>
      </font>
      <fill>
        <patternFill>
          <bgColor rgb="FFFBE3E3"/>
        </patternFill>
      </fill>
    </dxf>
    <dxf>
      <font>
        <name val="Arial"/>
        <charset val="1"/>
        <family val="0"/>
        <b val="1"/>
        <color rgb="FFB7791F"/>
      </font>
      <fill>
        <patternFill>
          <bgColor rgb="FFFFF3D6"/>
        </patternFill>
      </fill>
    </dxf>
    <dxf>
      <font>
        <name val="Arial"/>
        <charset val="1"/>
        <family val="0"/>
        <b val="1"/>
        <color rgb="FF00793C"/>
      </font>
      <fill>
        <patternFill>
          <bgColor rgb="FFDCF3E4"/>
        </patternFill>
      </fill>
    </dxf>
    <dxf>
      <fill>
        <patternFill patternType="solid">
          <fgColor rgb="FFC00000"/>
          <bgColor rgb="FF000000"/>
        </patternFill>
      </fill>
    </dxf>
    <dxf>
      <fill>
        <patternFill patternType="solid">
          <fgColor rgb="FF1F2937"/>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B7791F"/>
      <rgbColor rgb="FF800080"/>
      <rgbColor rgb="FF00793C"/>
      <rgbColor rgb="FFC0C0C0"/>
      <rgbColor rgb="FF808080"/>
      <rgbColor rgb="FF9999FF"/>
      <rgbColor rgb="FF993366"/>
      <rgbColor rgb="FFFFF7CC"/>
      <rgbColor rgb="FFE8F6EE"/>
      <rgbColor rgb="FF660066"/>
      <rgbColor rgb="FFFF8080"/>
      <rgbColor rgb="FF0066CC"/>
      <rgbColor rgb="FFD7E5DC"/>
      <rgbColor rgb="FF000080"/>
      <rgbColor rgb="FFFF00FF"/>
      <rgbColor rgb="FFFFFF00"/>
      <rgbColor rgb="FF00FFFF"/>
      <rgbColor rgb="FF800080"/>
      <rgbColor rgb="FF800000"/>
      <rgbColor rgb="FF008080"/>
      <rgbColor rgb="FF0000FF"/>
      <rgbColor rgb="FF00CCFF"/>
      <rgbColor rgb="FFEAF2FF"/>
      <rgbColor rgb="FFDCF3E4"/>
      <rgbColor rgb="FFFFF3D6"/>
      <rgbColor rgb="FF99CCFF"/>
      <rgbColor rgb="FFFF99CC"/>
      <rgbColor rgb="FFCC99FF"/>
      <rgbColor rgb="FFFBE3E3"/>
      <rgbColor rgb="FF3366FF"/>
      <rgbColor rgb="FF33CCCC"/>
      <rgbColor rgb="FF99CC00"/>
      <rgbColor rgb="FFFFCC00"/>
      <rgbColor rgb="FFFF9900"/>
      <rgbColor rgb="FFFF6600"/>
      <rgbColor rgb="FF6B7280"/>
      <rgbColor rgb="FF969696"/>
      <rgbColor rgb="FF003366"/>
      <rgbColor rgb="FF00A651"/>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yourdomain.com/" TargetMode="External"/><Relationship Id="rId3" Type="http://schemas.openxmlformats.org/officeDocument/2006/relationships/hyperlink" Target="https://yourdomain.com/product-a" TargetMode="External"/><Relationship Id="rId4" Type="http://schemas.openxmlformats.org/officeDocument/2006/relationships/hyperlink" Target="https://yourdomain.com/blog/seo-guide" TargetMode="External"/><Relationship Id="rId5" Type="http://schemas.openxmlformats.org/officeDocument/2006/relationships/hyperlink" Target="https://yourdomain.com/pricing" TargetMode="External"/><Relationship Id="rId6" Type="http://schemas.openxmlformats.org/officeDocument/2006/relationships/hyperlink" Target="https://yourdomain.com/product-b" TargetMode="External"/><Relationship Id="rId7" Type="http://schemas.openxmlformats.org/officeDocument/2006/relationships/drawing" Target="../drawings/drawing2.xml"/><Relationship Id="rId8"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4.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4.xml"/><Relationship Id="rId3" Type="http://schemas.openxmlformats.org/officeDocument/2006/relationships/vmlDrawing" Target="../drawings/vmlDrawing5.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yourdomain.com/" TargetMode="External"/><Relationship Id="rId3" Type="http://schemas.openxmlformats.org/officeDocument/2006/relationships/hyperlink" Target="https://yourdomain.com/product-a" TargetMode="External"/><Relationship Id="rId4" Type="http://schemas.openxmlformats.org/officeDocument/2006/relationships/hyperlink" Target="https://yourdomain.com/blog/seo-guide" TargetMode="External"/><Relationship Id="rId5" Type="http://schemas.openxmlformats.org/officeDocument/2006/relationships/hyperlink" Target="https://yourdomain.com/pricing" TargetMode="External"/><Relationship Id="rId6" Type="http://schemas.openxmlformats.org/officeDocument/2006/relationships/hyperlink" Target="https://yourdomain.com/product-b" TargetMode="External"/><Relationship Id="rId7" Type="http://schemas.openxmlformats.org/officeDocument/2006/relationships/drawing" Target="../drawings/drawing5.xml"/><Relationship Id="rId8" Type="http://schemas.openxmlformats.org/officeDocument/2006/relationships/vmlDrawing" Target="../drawings/vmlDrawing6.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6.xml"/><Relationship Id="rId3" Type="http://schemas.openxmlformats.org/officeDocument/2006/relationships/vmlDrawing" Target="../drawings/vmlDrawing7.vml"/>
</Relationships>
</file>

<file path=xl/worksheets/_rels/sheet12.xml.rels><?xml version="1.0" encoding="UTF-8"?>
<Relationships xmlns="http://schemas.openxmlformats.org/package/2006/relationships"><Relationship Id="rId1" Type="http://schemas.openxmlformats.org/officeDocument/2006/relationships/drawing" Target="../drawings/drawing7.xml"/>
</Relationships>
</file>

<file path=xl/worksheets/_rels/sheet14.xml.rels><?xml version="1.0" encoding="UTF-8"?>
<Relationships xmlns="http://schemas.openxmlformats.org/package/2006/relationships"><Relationship Id="rId1" Type="http://schemas.openxmlformats.org/officeDocument/2006/relationships/hyperlink" Target="https://search.google.com/search-console" TargetMode="External"/><Relationship Id="rId2" Type="http://schemas.openxmlformats.org/officeDocument/2006/relationships/hyperlink" Target="https://analytics.google.com/" TargetMode="External"/><Relationship Id="rId3" Type="http://schemas.openxmlformats.org/officeDocument/2006/relationships/hyperlink" Target="https://app.ahrefs.com/" TargetMode="External"/><Relationship Id="rId4" Type="http://schemas.openxmlformats.org/officeDocument/2006/relationships/hyperlink" Target="https://pagespeed.web.dev/" TargetMode="External"/><Relationship Id="rId5" Type="http://schemas.openxmlformats.org/officeDocument/2006/relationships/hyperlink" Target="https://mcp.windsor.ai/"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93C"/>
    <pageSetUpPr fitToPage="false"/>
  </sheetPr>
  <dimension ref="A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8" min="2" style="0" width="12"/>
  </cols>
  <sheetData>
    <row r="1" customFormat="false" ht="30"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4" customFormat="false" ht="21.75" hidden="false" customHeight="true" outlineLevel="0" collapsed="false">
      <c r="A4" s="3" t="s">
        <v>2</v>
      </c>
      <c r="B4" s="3"/>
      <c r="C4" s="3"/>
      <c r="D4" s="3"/>
      <c r="E4" s="3"/>
      <c r="F4" s="3"/>
      <c r="G4" s="3"/>
      <c r="H4" s="3"/>
    </row>
    <row r="5" customFormat="false" ht="30" hidden="false" customHeight="true" outlineLevel="0" collapsed="false">
      <c r="A5" s="4" t="s">
        <v>3</v>
      </c>
      <c r="B5" s="4"/>
      <c r="C5" s="4"/>
      <c r="D5" s="4"/>
      <c r="E5" s="4"/>
      <c r="F5" s="4"/>
      <c r="G5" s="4"/>
      <c r="H5" s="4"/>
    </row>
    <row r="6" customFormat="false" ht="18" hidden="false" customHeight="true" outlineLevel="0" collapsed="false">
      <c r="A6" s="5" t="s">
        <v>4</v>
      </c>
      <c r="B6" s="5"/>
      <c r="C6" s="5"/>
      <c r="D6" s="5"/>
      <c r="E6" s="5"/>
      <c r="F6" s="5"/>
      <c r="G6" s="5"/>
      <c r="H6" s="5"/>
    </row>
    <row r="7" customFormat="false" ht="30" hidden="false" customHeight="true" outlineLevel="0" collapsed="false">
      <c r="A7" s="4" t="s">
        <v>5</v>
      </c>
      <c r="B7" s="4"/>
      <c r="C7" s="4"/>
      <c r="D7" s="4"/>
      <c r="E7" s="4"/>
      <c r="F7" s="4"/>
      <c r="G7" s="4"/>
      <c r="H7" s="4"/>
    </row>
    <row r="9" customFormat="false" ht="21.75" hidden="false" customHeight="true" outlineLevel="0" collapsed="false">
      <c r="A9" s="3" t="s">
        <v>6</v>
      </c>
      <c r="B9" s="3"/>
      <c r="C9" s="3"/>
      <c r="D9" s="3"/>
      <c r="E9" s="3"/>
      <c r="F9" s="3"/>
      <c r="G9" s="3"/>
      <c r="H9" s="3"/>
    </row>
    <row r="10" customFormat="false" ht="30" hidden="false" customHeight="true" outlineLevel="0" collapsed="false">
      <c r="A10" s="4" t="s">
        <v>7</v>
      </c>
      <c r="B10" s="4"/>
      <c r="C10" s="4"/>
      <c r="D10" s="4"/>
      <c r="E10" s="4"/>
      <c r="F10" s="4"/>
      <c r="G10" s="4"/>
      <c r="H10" s="4"/>
    </row>
    <row r="12" customFormat="false" ht="21.75" hidden="false" customHeight="true" outlineLevel="0" collapsed="false">
      <c r="A12" s="3" t="s">
        <v>8</v>
      </c>
      <c r="B12" s="3"/>
      <c r="C12" s="3"/>
      <c r="D12" s="3"/>
      <c r="E12" s="3"/>
      <c r="F12" s="3"/>
      <c r="G12" s="3"/>
      <c r="H12" s="3"/>
    </row>
    <row r="13" customFormat="false" ht="30" hidden="false" customHeight="true" outlineLevel="0" collapsed="false">
      <c r="A13" s="4" t="s">
        <v>9</v>
      </c>
      <c r="B13" s="4"/>
      <c r="C13" s="4"/>
      <c r="D13" s="4"/>
      <c r="E13" s="4"/>
      <c r="F13" s="4"/>
      <c r="G13" s="4"/>
      <c r="H13" s="4"/>
    </row>
    <row r="14" customFormat="false" ht="30" hidden="false" customHeight="true" outlineLevel="0" collapsed="false">
      <c r="A14" s="5" t="s">
        <v>10</v>
      </c>
      <c r="B14" s="5"/>
      <c r="C14" s="5"/>
      <c r="D14" s="5"/>
      <c r="E14" s="5"/>
      <c r="F14" s="5"/>
      <c r="G14" s="5"/>
      <c r="H14" s="5"/>
    </row>
  </sheetData>
  <mergeCells count="11">
    <mergeCell ref="A1:H1"/>
    <mergeCell ref="A2:H2"/>
    <mergeCell ref="A4:H4"/>
    <mergeCell ref="A5:H5"/>
    <mergeCell ref="A6:H6"/>
    <mergeCell ref="A7:H7"/>
    <mergeCell ref="A9:H9"/>
    <mergeCell ref="A10:H10"/>
    <mergeCell ref="A12:H12"/>
    <mergeCell ref="A13:H13"/>
    <mergeCell ref="A14:H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93C"/>
    <pageSetUpPr fitToPage="false"/>
  </sheetPr>
  <dimension ref="A1:H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7" min="2" style="0" width="12"/>
    <col collapsed="false" customWidth="true" hidden="false" outlineLevel="0" max="8" min="8" style="0" width="13"/>
  </cols>
  <sheetData>
    <row r="1" customFormat="false" ht="30" hidden="false" customHeight="true" outlineLevel="0" collapsed="false">
      <c r="A1" s="1" t="s">
        <v>11</v>
      </c>
      <c r="B1" s="1"/>
      <c r="C1" s="1"/>
      <c r="D1" s="1"/>
      <c r="E1" s="1"/>
      <c r="F1" s="1"/>
      <c r="G1" s="1"/>
      <c r="H1" s="1"/>
    </row>
    <row r="2" customFormat="false" ht="18" hidden="false" customHeight="true" outlineLevel="0" collapsed="false">
      <c r="A2" s="2" t="s">
        <v>12</v>
      </c>
      <c r="B2" s="2"/>
      <c r="C2" s="2"/>
      <c r="D2" s="2"/>
      <c r="E2" s="2"/>
      <c r="F2" s="2"/>
      <c r="G2" s="2"/>
      <c r="H2" s="2"/>
    </row>
    <row r="4" customFormat="false" ht="24" hidden="false" customHeight="true" outlineLevel="0" collapsed="false">
      <c r="A4" s="6" t="s">
        <v>13</v>
      </c>
      <c r="B4" s="6"/>
      <c r="C4" s="6"/>
      <c r="D4" s="6"/>
      <c r="E4" s="6"/>
      <c r="F4" s="6"/>
      <c r="G4" s="6"/>
      <c r="H4" s="6"/>
    </row>
    <row r="5" customFormat="false" ht="72" hidden="false" customHeight="true" outlineLevel="0" collapsed="false">
      <c r="A5" s="4" t="s">
        <v>14</v>
      </c>
      <c r="B5" s="4"/>
      <c r="C5" s="4"/>
      <c r="D5" s="4"/>
      <c r="E5" s="4"/>
      <c r="F5" s="4"/>
      <c r="G5" s="4"/>
      <c r="H5" s="4"/>
    </row>
    <row r="7" customFormat="false" ht="24" hidden="false" customHeight="true" outlineLevel="0" collapsed="false">
      <c r="A7" s="6" t="s">
        <v>15</v>
      </c>
      <c r="B7" s="6"/>
      <c r="C7" s="6"/>
      <c r="D7" s="6"/>
      <c r="E7" s="6"/>
      <c r="F7" s="6"/>
      <c r="G7" s="6"/>
      <c r="H7" s="6"/>
    </row>
    <row r="8" customFormat="false" ht="72" hidden="false" customHeight="true" outlineLevel="0" collapsed="false">
      <c r="A8" s="4" t="s">
        <v>16</v>
      </c>
      <c r="B8" s="4"/>
      <c r="C8" s="4"/>
      <c r="D8" s="4"/>
      <c r="E8" s="4"/>
      <c r="F8" s="4"/>
      <c r="G8" s="4"/>
      <c r="H8" s="4"/>
    </row>
    <row r="10" customFormat="false" ht="30" hidden="false" customHeight="true" outlineLevel="0" collapsed="false">
      <c r="A10" s="5" t="s">
        <v>17</v>
      </c>
      <c r="B10" s="5"/>
      <c r="C10" s="5"/>
      <c r="D10" s="5"/>
      <c r="E10" s="5"/>
      <c r="F10" s="5"/>
      <c r="G10" s="5"/>
      <c r="H10" s="5"/>
    </row>
    <row r="11" customFormat="false" ht="43.5" hidden="false" customHeight="true" outlineLevel="0" collapsed="false">
      <c r="A11" s="7" t="s">
        <v>18</v>
      </c>
      <c r="B11" s="7"/>
      <c r="C11" s="7"/>
      <c r="D11" s="7"/>
      <c r="E11" s="7"/>
      <c r="F11" s="7"/>
      <c r="G11" s="7"/>
      <c r="H11" s="7"/>
    </row>
    <row r="13" customFormat="false" ht="30" hidden="false" customHeight="true" outlineLevel="0" collapsed="false">
      <c r="A13" s="5" t="s">
        <v>19</v>
      </c>
      <c r="B13" s="5"/>
      <c r="C13" s="5"/>
      <c r="D13" s="5"/>
      <c r="E13" s="5"/>
      <c r="F13" s="5"/>
      <c r="G13" s="5"/>
      <c r="H13" s="5"/>
    </row>
    <row r="14" customFormat="false" ht="72" hidden="false" customHeight="true" outlineLevel="0" collapsed="false">
      <c r="A14" s="7" t="s">
        <v>20</v>
      </c>
      <c r="B14" s="7"/>
      <c r="C14" s="7"/>
      <c r="D14" s="7"/>
      <c r="E14" s="7"/>
      <c r="F14" s="7"/>
      <c r="G14" s="7"/>
      <c r="H14" s="7"/>
    </row>
    <row r="16" customFormat="false" ht="30" hidden="false" customHeight="true" outlineLevel="0" collapsed="false">
      <c r="A16" s="5" t="s">
        <v>21</v>
      </c>
      <c r="B16" s="5"/>
      <c r="C16" s="5"/>
      <c r="D16" s="5"/>
      <c r="E16" s="5"/>
      <c r="F16" s="5"/>
      <c r="G16" s="5"/>
      <c r="H16" s="5"/>
    </row>
    <row r="17" customFormat="false" ht="57.75" hidden="false" customHeight="true" outlineLevel="0" collapsed="false">
      <c r="A17" s="7" t="s">
        <v>22</v>
      </c>
      <c r="B17" s="7"/>
      <c r="C17" s="7"/>
      <c r="D17" s="7"/>
      <c r="E17" s="7"/>
      <c r="F17" s="7"/>
      <c r="G17" s="7"/>
      <c r="H17" s="7"/>
    </row>
    <row r="19" customFormat="false" ht="30" hidden="false" customHeight="true" outlineLevel="0" collapsed="false">
      <c r="A19" s="5" t="s">
        <v>23</v>
      </c>
      <c r="B19" s="5"/>
      <c r="C19" s="5"/>
      <c r="D19" s="5"/>
      <c r="E19" s="5"/>
      <c r="F19" s="5"/>
      <c r="G19" s="5"/>
      <c r="H19" s="5"/>
    </row>
    <row r="20" customFormat="false" ht="43.5" hidden="false" customHeight="true" outlineLevel="0" collapsed="false">
      <c r="A20" s="7" t="s">
        <v>24</v>
      </c>
      <c r="B20" s="7"/>
      <c r="C20" s="7"/>
      <c r="D20" s="7"/>
      <c r="E20" s="7"/>
      <c r="F20" s="7"/>
      <c r="G20" s="7"/>
      <c r="H20" s="7"/>
    </row>
    <row r="22" customFormat="false" ht="30" hidden="false" customHeight="true" outlineLevel="0" collapsed="false">
      <c r="A22" s="5" t="s">
        <v>25</v>
      </c>
      <c r="B22" s="5"/>
      <c r="C22" s="5"/>
      <c r="D22" s="5"/>
      <c r="E22" s="5"/>
      <c r="F22" s="5"/>
      <c r="G22" s="5"/>
      <c r="H22" s="5"/>
    </row>
    <row r="23" customFormat="false" ht="43.5" hidden="false" customHeight="true" outlineLevel="0" collapsed="false">
      <c r="A23" s="7" t="s">
        <v>26</v>
      </c>
      <c r="B23" s="7"/>
      <c r="C23" s="7"/>
      <c r="D23" s="7"/>
      <c r="E23" s="7"/>
      <c r="F23" s="7"/>
      <c r="G23" s="7"/>
      <c r="H23" s="7"/>
    </row>
    <row r="25" customFormat="false" ht="30" hidden="false" customHeight="true" outlineLevel="0" collapsed="false">
      <c r="A25" s="5" t="s">
        <v>27</v>
      </c>
      <c r="B25" s="5"/>
      <c r="C25" s="5"/>
      <c r="D25" s="5"/>
      <c r="E25" s="5"/>
      <c r="F25" s="5"/>
      <c r="G25" s="5"/>
      <c r="H25" s="5"/>
    </row>
    <row r="26" customFormat="false" ht="57.75" hidden="false" customHeight="true" outlineLevel="0" collapsed="false">
      <c r="A26" s="7" t="s">
        <v>28</v>
      </c>
      <c r="B26" s="7"/>
      <c r="C26" s="7"/>
      <c r="D26" s="7"/>
      <c r="E26" s="7"/>
      <c r="F26" s="7"/>
      <c r="G26" s="7"/>
      <c r="H26" s="7"/>
    </row>
    <row r="28" customFormat="false" ht="30" hidden="false" customHeight="true" outlineLevel="0" collapsed="false">
      <c r="A28" s="5" t="s">
        <v>29</v>
      </c>
      <c r="B28" s="5"/>
      <c r="C28" s="5"/>
      <c r="D28" s="5"/>
      <c r="E28" s="5"/>
      <c r="F28" s="5"/>
      <c r="G28" s="5"/>
      <c r="H28" s="5"/>
    </row>
    <row r="29" customFormat="false" ht="43.5" hidden="false" customHeight="true" outlineLevel="0" collapsed="false">
      <c r="A29" s="7" t="s">
        <v>30</v>
      </c>
      <c r="B29" s="7"/>
      <c r="C29" s="7"/>
      <c r="D29" s="7"/>
      <c r="E29" s="7"/>
      <c r="F29" s="7"/>
      <c r="G29" s="7"/>
      <c r="H29" s="7"/>
    </row>
    <row r="31" customFormat="false" ht="30" hidden="false" customHeight="true" outlineLevel="0" collapsed="false">
      <c r="A31" s="5" t="s">
        <v>31</v>
      </c>
      <c r="B31" s="5"/>
      <c r="C31" s="5"/>
      <c r="D31" s="5"/>
      <c r="E31" s="5"/>
      <c r="F31" s="5"/>
      <c r="G31" s="5"/>
      <c r="H31" s="5"/>
    </row>
    <row r="32" customFormat="false" ht="43.5" hidden="false" customHeight="true" outlineLevel="0" collapsed="false">
      <c r="A32" s="7" t="s">
        <v>32</v>
      </c>
      <c r="B32" s="7"/>
      <c r="C32" s="7"/>
      <c r="D32" s="7"/>
      <c r="E32" s="7"/>
      <c r="F32" s="7"/>
      <c r="G32" s="7"/>
      <c r="H32" s="7"/>
    </row>
    <row r="34" customFormat="false" ht="30" hidden="false" customHeight="true" outlineLevel="0" collapsed="false">
      <c r="A34" s="5" t="s">
        <v>33</v>
      </c>
      <c r="B34" s="5"/>
      <c r="C34" s="5"/>
      <c r="D34" s="5"/>
      <c r="E34" s="5"/>
      <c r="F34" s="5"/>
      <c r="G34" s="5"/>
      <c r="H34" s="5"/>
    </row>
    <row r="35" customFormat="false" ht="43.5" hidden="false" customHeight="true" outlineLevel="0" collapsed="false">
      <c r="A35" s="7" t="s">
        <v>34</v>
      </c>
      <c r="B35" s="7"/>
      <c r="C35" s="7"/>
      <c r="D35" s="7"/>
      <c r="E35" s="7"/>
      <c r="F35" s="7"/>
      <c r="G35" s="7"/>
      <c r="H35" s="7"/>
    </row>
    <row r="37" customFormat="false" ht="24" hidden="false" customHeight="true" outlineLevel="0" collapsed="false">
      <c r="A37" s="6" t="s">
        <v>35</v>
      </c>
      <c r="B37" s="6"/>
      <c r="C37" s="6"/>
      <c r="D37" s="6"/>
      <c r="E37" s="6"/>
      <c r="F37" s="6"/>
      <c r="G37" s="6"/>
      <c r="H37" s="6"/>
    </row>
    <row r="38" customFormat="false" ht="57.75" hidden="false" customHeight="true" outlineLevel="0" collapsed="false">
      <c r="A38" s="4" t="s">
        <v>36</v>
      </c>
      <c r="B38" s="4"/>
      <c r="C38" s="4"/>
      <c r="D38" s="4"/>
      <c r="E38" s="4"/>
      <c r="F38" s="4"/>
      <c r="G38" s="4"/>
      <c r="H38" s="4"/>
    </row>
    <row r="40" customFormat="false" ht="24" hidden="false" customHeight="true" outlineLevel="0" collapsed="false">
      <c r="A40" s="6" t="s">
        <v>37</v>
      </c>
      <c r="B40" s="6"/>
      <c r="C40" s="6"/>
      <c r="D40" s="6"/>
      <c r="E40" s="6"/>
      <c r="F40" s="6"/>
      <c r="G40" s="6"/>
      <c r="H40" s="6"/>
    </row>
    <row r="41" customFormat="false" ht="85.5" hidden="false" customHeight="true" outlineLevel="0" collapsed="false">
      <c r="A41" s="4" t="s">
        <v>38</v>
      </c>
      <c r="B41" s="4"/>
      <c r="C41" s="4"/>
      <c r="D41" s="4"/>
      <c r="E41" s="4"/>
      <c r="F41" s="4"/>
      <c r="G41" s="4"/>
      <c r="H41" s="4"/>
    </row>
  </sheetData>
  <mergeCells count="28">
    <mergeCell ref="A1:H1"/>
    <mergeCell ref="A2:H2"/>
    <mergeCell ref="A4:H4"/>
    <mergeCell ref="A5:H5"/>
    <mergeCell ref="A7:H7"/>
    <mergeCell ref="A8:H8"/>
    <mergeCell ref="A10:H10"/>
    <mergeCell ref="A11:H11"/>
    <mergeCell ref="A13:H13"/>
    <mergeCell ref="A14:H14"/>
    <mergeCell ref="A16:H16"/>
    <mergeCell ref="A17:H17"/>
    <mergeCell ref="A19:H19"/>
    <mergeCell ref="A20:H20"/>
    <mergeCell ref="A22:H22"/>
    <mergeCell ref="A23:H23"/>
    <mergeCell ref="A25:H25"/>
    <mergeCell ref="A26:H26"/>
    <mergeCell ref="A28:H28"/>
    <mergeCell ref="A29:H29"/>
    <mergeCell ref="A31:H31"/>
    <mergeCell ref="A32:H32"/>
    <mergeCell ref="A34:H34"/>
    <mergeCell ref="A35:H35"/>
    <mergeCell ref="A37:H37"/>
    <mergeCell ref="A38:H38"/>
    <mergeCell ref="A40:H40"/>
    <mergeCell ref="A41:H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93C"/>
    <pageSetUpPr fitToPage="false"/>
  </sheetPr>
  <dimension ref="A1:L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13"/>
    <col collapsed="false" customWidth="true" hidden="false" outlineLevel="0" max="4" min="4" style="0" width="8"/>
    <col collapsed="false" customWidth="true" hidden="false" outlineLevel="0" max="5" min="5" style="0" width="11"/>
    <col collapsed="false" customWidth="true" hidden="false" outlineLevel="0" max="6" min="6" style="0" width="13"/>
    <col collapsed="false" customWidth="true" hidden="false" outlineLevel="0" max="7" min="7" style="0" width="12"/>
    <col collapsed="false" customWidth="true" hidden="false" outlineLevel="0" max="8" min="8" style="0" width="10"/>
    <col collapsed="false" customWidth="true" hidden="false" outlineLevel="0" max="11" min="9" style="0" width="15"/>
    <col collapsed="false" customWidth="true" hidden="false" outlineLevel="0" max="12" min="12" style="0" width="12"/>
  </cols>
  <sheetData>
    <row r="1" customFormat="false" ht="30" hidden="false" customHeight="true" outlineLevel="0" collapsed="false">
      <c r="A1" s="1" t="s">
        <v>39</v>
      </c>
      <c r="B1" s="1"/>
      <c r="C1" s="1"/>
      <c r="D1" s="1"/>
      <c r="E1" s="1"/>
      <c r="F1" s="1"/>
      <c r="G1" s="1"/>
      <c r="H1" s="1"/>
      <c r="I1" s="1"/>
      <c r="J1" s="1"/>
      <c r="K1" s="1"/>
      <c r="L1" s="1"/>
    </row>
    <row r="2" customFormat="false" ht="18" hidden="false" customHeight="true" outlineLevel="0" collapsed="false">
      <c r="A2" s="2" t="s">
        <v>40</v>
      </c>
      <c r="B2" s="2"/>
      <c r="C2" s="2"/>
      <c r="D2" s="2"/>
      <c r="E2" s="2"/>
      <c r="F2" s="2"/>
      <c r="G2" s="2"/>
      <c r="H2" s="2"/>
      <c r="I2" s="2"/>
      <c r="J2" s="2"/>
      <c r="K2" s="2"/>
      <c r="L2" s="2"/>
    </row>
    <row r="4" customFormat="false" ht="27.75" hidden="false" customHeight="true" outlineLevel="0" collapsed="false">
      <c r="A4" s="8" t="s">
        <v>41</v>
      </c>
      <c r="B4" s="8" t="s">
        <v>42</v>
      </c>
      <c r="C4" s="8" t="s">
        <v>43</v>
      </c>
      <c r="D4" s="8" t="s">
        <v>44</v>
      </c>
      <c r="E4" s="8" t="s">
        <v>45</v>
      </c>
      <c r="F4" s="8" t="s">
        <v>46</v>
      </c>
      <c r="G4" s="8" t="s">
        <v>47</v>
      </c>
      <c r="H4" s="8" t="s">
        <v>48</v>
      </c>
      <c r="I4" s="8" t="s">
        <v>49</v>
      </c>
      <c r="J4" s="8" t="s">
        <v>50</v>
      </c>
      <c r="K4" s="8" t="s">
        <v>51</v>
      </c>
      <c r="L4" s="8" t="s">
        <v>52</v>
      </c>
    </row>
    <row r="5" customFormat="false" ht="15" hidden="false" customHeight="false" outlineLevel="0" collapsed="false">
      <c r="A5" s="9" t="s">
        <v>53</v>
      </c>
      <c r="B5" s="10" t="n">
        <v>4200</v>
      </c>
      <c r="C5" s="10" t="n">
        <v>180000</v>
      </c>
      <c r="D5" s="11" t="n">
        <f aca="false">IF(OR(C5="",C5=0),"",B5/C5)</f>
        <v>0.0233333333333333</v>
      </c>
      <c r="E5" s="12" t="n">
        <v>18.5</v>
      </c>
      <c r="F5" s="10" t="n">
        <v>5200</v>
      </c>
      <c r="G5" s="10" t="n">
        <v>30</v>
      </c>
      <c r="H5" s="11" t="n">
        <f aca="false">IF(OR(F5="",F5=0),"",G5/F5)</f>
        <v>0.00576923076923077</v>
      </c>
      <c r="I5" s="10" t="n">
        <v>1200</v>
      </c>
      <c r="J5" s="10" t="n">
        <v>80</v>
      </c>
      <c r="K5" s="10" t="n">
        <v>340</v>
      </c>
      <c r="L5" s="13" t="n">
        <v>42</v>
      </c>
    </row>
    <row r="6" customFormat="false" ht="15" hidden="false" customHeight="false" outlineLevel="0" collapsed="false">
      <c r="A6" s="9" t="s">
        <v>54</v>
      </c>
      <c r="B6" s="10" t="n">
        <v>4800</v>
      </c>
      <c r="C6" s="10" t="n">
        <v>195000</v>
      </c>
      <c r="D6" s="11" t="n">
        <f aca="false">IF(OR(C6="",C6=0),"",B6/C6)</f>
        <v>0.0246153846153846</v>
      </c>
      <c r="E6" s="12" t="n">
        <v>17.2</v>
      </c>
      <c r="F6" s="10" t="n">
        <v>5900</v>
      </c>
      <c r="G6" s="10" t="n">
        <v>38</v>
      </c>
      <c r="H6" s="11" t="n">
        <f aca="false">IF(OR(F6="",F6=0),"",G6/F6)</f>
        <v>0.0064406779661017</v>
      </c>
      <c r="I6" s="10" t="n">
        <v>1320</v>
      </c>
      <c r="J6" s="10" t="n">
        <v>95</v>
      </c>
      <c r="K6" s="10" t="n">
        <v>352</v>
      </c>
      <c r="L6" s="13" t="n">
        <v>43</v>
      </c>
    </row>
    <row r="7" customFormat="false" ht="15" hidden="false" customHeight="false" outlineLevel="0" collapsed="false">
      <c r="A7" s="9" t="s">
        <v>55</v>
      </c>
      <c r="B7" s="10" t="n">
        <v>5600</v>
      </c>
      <c r="C7" s="10" t="n">
        <v>210000</v>
      </c>
      <c r="D7" s="11" t="n">
        <f aca="false">IF(OR(C7="",C7=0),"",B7/C7)</f>
        <v>0.0266666666666667</v>
      </c>
      <c r="E7" s="12" t="n">
        <v>16</v>
      </c>
      <c r="F7" s="10" t="n">
        <v>6800</v>
      </c>
      <c r="G7" s="10" t="n">
        <v>47</v>
      </c>
      <c r="H7" s="11" t="n">
        <f aca="false">IF(OR(F7="",F7=0),"",G7/F7)</f>
        <v>0.00691176470588235</v>
      </c>
      <c r="I7" s="10" t="n">
        <v>1450</v>
      </c>
      <c r="J7" s="10" t="n">
        <v>110</v>
      </c>
      <c r="K7" s="10" t="n">
        <v>365</v>
      </c>
      <c r="L7" s="13" t="n">
        <v>44</v>
      </c>
    </row>
    <row r="8" customFormat="false" ht="15" hidden="false" customHeight="false" outlineLevel="0" collapsed="false">
      <c r="A8" s="9" t="s">
        <v>56</v>
      </c>
      <c r="B8" s="10"/>
      <c r="C8" s="10"/>
      <c r="D8" s="11" t="str">
        <f aca="false">IF(OR(C8="",C8=0),"",B8/C8)</f>
        <v/>
      </c>
      <c r="E8" s="12"/>
      <c r="F8" s="10"/>
      <c r="G8" s="10"/>
      <c r="H8" s="11" t="str">
        <f aca="false">IF(OR(F8="",F8=0),"",G8/F8)</f>
        <v/>
      </c>
      <c r="I8" s="10"/>
      <c r="J8" s="10"/>
      <c r="K8" s="10"/>
      <c r="L8" s="13"/>
    </row>
    <row r="9" customFormat="false" ht="15" hidden="false" customHeight="false" outlineLevel="0" collapsed="false">
      <c r="A9" s="9" t="s">
        <v>57</v>
      </c>
      <c r="B9" s="10"/>
      <c r="C9" s="10"/>
      <c r="D9" s="11" t="str">
        <f aca="false">IF(OR(C9="",C9=0),"",B9/C9)</f>
        <v/>
      </c>
      <c r="E9" s="12"/>
      <c r="F9" s="10"/>
      <c r="G9" s="10"/>
      <c r="H9" s="11" t="str">
        <f aca="false">IF(OR(F9="",F9=0),"",G9/F9)</f>
        <v/>
      </c>
      <c r="I9" s="10"/>
      <c r="J9" s="10"/>
      <c r="K9" s="10"/>
      <c r="L9" s="13"/>
    </row>
    <row r="10" customFormat="false" ht="15" hidden="false" customHeight="false" outlineLevel="0" collapsed="false">
      <c r="A10" s="9" t="s">
        <v>58</v>
      </c>
      <c r="B10" s="10"/>
      <c r="C10" s="10"/>
      <c r="D10" s="11" t="str">
        <f aca="false">IF(OR(C10="",C10=0),"",B10/C10)</f>
        <v/>
      </c>
      <c r="E10" s="12"/>
      <c r="F10" s="10"/>
      <c r="G10" s="10"/>
      <c r="H10" s="11" t="str">
        <f aca="false">IF(OR(F10="",F10=0),"",G10/F10)</f>
        <v/>
      </c>
      <c r="I10" s="10"/>
      <c r="J10" s="10"/>
      <c r="K10" s="10"/>
      <c r="L10" s="13"/>
    </row>
    <row r="11" customFormat="false" ht="15" hidden="false" customHeight="false" outlineLevel="0" collapsed="false">
      <c r="A11" s="9" t="s">
        <v>59</v>
      </c>
      <c r="B11" s="10"/>
      <c r="C11" s="10"/>
      <c r="D11" s="11" t="str">
        <f aca="false">IF(OR(C11="",C11=0),"",B11/C11)</f>
        <v/>
      </c>
      <c r="E11" s="12"/>
      <c r="F11" s="10"/>
      <c r="G11" s="10"/>
      <c r="H11" s="11" t="str">
        <f aca="false">IF(OR(F11="",F11=0),"",G11/F11)</f>
        <v/>
      </c>
      <c r="I11" s="10"/>
      <c r="J11" s="10"/>
      <c r="K11" s="10"/>
      <c r="L11" s="13"/>
    </row>
    <row r="12" customFormat="false" ht="15" hidden="false" customHeight="false" outlineLevel="0" collapsed="false">
      <c r="A12" s="9" t="s">
        <v>60</v>
      </c>
      <c r="B12" s="10"/>
      <c r="C12" s="10"/>
      <c r="D12" s="11" t="str">
        <f aca="false">IF(OR(C12="",C12=0),"",B12/C12)</f>
        <v/>
      </c>
      <c r="E12" s="12"/>
      <c r="F12" s="10"/>
      <c r="G12" s="10"/>
      <c r="H12" s="11" t="str">
        <f aca="false">IF(OR(F12="",F12=0),"",G12/F12)</f>
        <v/>
      </c>
      <c r="I12" s="10"/>
      <c r="J12" s="10"/>
      <c r="K12" s="10"/>
      <c r="L12" s="13"/>
    </row>
    <row r="13" customFormat="false" ht="15" hidden="false" customHeight="false" outlineLevel="0" collapsed="false">
      <c r="A13" s="9" t="s">
        <v>61</v>
      </c>
      <c r="B13" s="10"/>
      <c r="C13" s="10"/>
      <c r="D13" s="11" t="str">
        <f aca="false">IF(OR(C13="",C13=0),"",B13/C13)</f>
        <v/>
      </c>
      <c r="E13" s="12"/>
      <c r="F13" s="10"/>
      <c r="G13" s="10"/>
      <c r="H13" s="11" t="str">
        <f aca="false">IF(OR(F13="",F13=0),"",G13/F13)</f>
        <v/>
      </c>
      <c r="I13" s="10"/>
      <c r="J13" s="10"/>
      <c r="K13" s="10"/>
      <c r="L13" s="13"/>
    </row>
    <row r="14" customFormat="false" ht="15" hidden="false" customHeight="false" outlineLevel="0" collapsed="false">
      <c r="A14" s="9" t="s">
        <v>62</v>
      </c>
      <c r="B14" s="10"/>
      <c r="C14" s="10"/>
      <c r="D14" s="11" t="str">
        <f aca="false">IF(OR(C14="",C14=0),"",B14/C14)</f>
        <v/>
      </c>
      <c r="E14" s="12"/>
      <c r="F14" s="10"/>
      <c r="G14" s="10"/>
      <c r="H14" s="11" t="str">
        <f aca="false">IF(OR(F14="",F14=0),"",G14/F14)</f>
        <v/>
      </c>
      <c r="I14" s="10"/>
      <c r="J14" s="10"/>
      <c r="K14" s="10"/>
      <c r="L14" s="13"/>
    </row>
    <row r="15" customFormat="false" ht="15" hidden="false" customHeight="false" outlineLevel="0" collapsed="false">
      <c r="A15" s="9" t="s">
        <v>63</v>
      </c>
      <c r="B15" s="10"/>
      <c r="C15" s="10"/>
      <c r="D15" s="11" t="str">
        <f aca="false">IF(OR(C15="",C15=0),"",B15/C15)</f>
        <v/>
      </c>
      <c r="E15" s="12"/>
      <c r="F15" s="10"/>
      <c r="G15" s="10"/>
      <c r="H15" s="11" t="str">
        <f aca="false">IF(OR(F15="",F15=0),"",G15/F15)</f>
        <v/>
      </c>
      <c r="I15" s="10"/>
      <c r="J15" s="10"/>
      <c r="K15" s="10"/>
      <c r="L15" s="13"/>
    </row>
    <row r="16" customFormat="false" ht="15" hidden="false" customHeight="false" outlineLevel="0" collapsed="false">
      <c r="A16" s="9" t="s">
        <v>64</v>
      </c>
      <c r="B16" s="10"/>
      <c r="C16" s="10"/>
      <c r="D16" s="11" t="str">
        <f aca="false">IF(OR(C16="",C16=0),"",B16/C16)</f>
        <v/>
      </c>
      <c r="E16" s="12"/>
      <c r="F16" s="10"/>
      <c r="G16" s="10"/>
      <c r="H16" s="11" t="str">
        <f aca="false">IF(OR(F16="",F16=0),"",G16/F16)</f>
        <v/>
      </c>
      <c r="I16" s="10"/>
      <c r="J16" s="10"/>
      <c r="K16" s="10"/>
      <c r="L16" s="13"/>
    </row>
    <row r="17" customFormat="false" ht="15" hidden="false" customHeight="false" outlineLevel="0" collapsed="false">
      <c r="A17" s="9" t="s">
        <v>65</v>
      </c>
      <c r="B17" s="10"/>
      <c r="C17" s="10"/>
      <c r="D17" s="11" t="str">
        <f aca="false">IF(OR(C17="",C17=0),"",B17/C17)</f>
        <v/>
      </c>
      <c r="E17" s="12"/>
      <c r="F17" s="10"/>
      <c r="G17" s="10"/>
      <c r="H17" s="11" t="str">
        <f aca="false">IF(OR(F17="",F17=0),"",G17/F17)</f>
        <v/>
      </c>
      <c r="I17" s="10"/>
      <c r="J17" s="10"/>
      <c r="K17" s="10"/>
      <c r="L17" s="13"/>
    </row>
    <row r="18" customFormat="false" ht="15" hidden="false" customHeight="false" outlineLevel="0" collapsed="false">
      <c r="A18" s="9" t="s">
        <v>66</v>
      </c>
      <c r="B18" s="10"/>
      <c r="C18" s="10"/>
      <c r="D18" s="11" t="str">
        <f aca="false">IF(OR(C18="",C18=0),"",B18/C18)</f>
        <v/>
      </c>
      <c r="E18" s="12"/>
      <c r="F18" s="10"/>
      <c r="G18" s="10"/>
      <c r="H18" s="11" t="str">
        <f aca="false">IF(OR(F18="",F18=0),"",G18/F18)</f>
        <v/>
      </c>
      <c r="I18" s="10"/>
      <c r="J18" s="10"/>
      <c r="K18" s="10"/>
      <c r="L18" s="13"/>
    </row>
    <row r="19" customFormat="false" ht="15" hidden="false" customHeight="false" outlineLevel="0" collapsed="false">
      <c r="A19" s="9" t="s">
        <v>67</v>
      </c>
      <c r="B19" s="10"/>
      <c r="C19" s="10"/>
      <c r="D19" s="11" t="str">
        <f aca="false">IF(OR(C19="",C19=0),"",B19/C19)</f>
        <v/>
      </c>
      <c r="E19" s="12"/>
      <c r="F19" s="10"/>
      <c r="G19" s="10"/>
      <c r="H19" s="11" t="str">
        <f aca="false">IF(OR(F19="",F19=0),"",G19/F19)</f>
        <v/>
      </c>
      <c r="I19" s="10"/>
      <c r="J19" s="10"/>
      <c r="K19" s="10"/>
      <c r="L19" s="13"/>
    </row>
    <row r="20" customFormat="false" ht="15" hidden="false" customHeight="false" outlineLevel="0" collapsed="false">
      <c r="A20" s="9" t="s">
        <v>68</v>
      </c>
      <c r="B20" s="10"/>
      <c r="C20" s="10"/>
      <c r="D20" s="11" t="str">
        <f aca="false">IF(OR(C20="",C20=0),"",B20/C20)</f>
        <v/>
      </c>
      <c r="E20" s="12"/>
      <c r="F20" s="10"/>
      <c r="G20" s="10"/>
      <c r="H20" s="11" t="str">
        <f aca="false">IF(OR(F20="",F20=0),"",G20/F20)</f>
        <v/>
      </c>
      <c r="I20" s="10"/>
      <c r="J20" s="10"/>
      <c r="K20" s="10"/>
      <c r="L20" s="13"/>
    </row>
    <row r="21" customFormat="false" ht="15" hidden="false" customHeight="false" outlineLevel="0" collapsed="false">
      <c r="A21" s="9" t="s">
        <v>69</v>
      </c>
      <c r="B21" s="10"/>
      <c r="C21" s="10"/>
      <c r="D21" s="11" t="str">
        <f aca="false">IF(OR(C21="",C21=0),"",B21/C21)</f>
        <v/>
      </c>
      <c r="E21" s="12"/>
      <c r="F21" s="10"/>
      <c r="G21" s="10"/>
      <c r="H21" s="11" t="str">
        <f aca="false">IF(OR(F21="",F21=0),"",G21/F21)</f>
        <v/>
      </c>
      <c r="I21" s="10"/>
      <c r="J21" s="10"/>
      <c r="K21" s="10"/>
      <c r="L21" s="13"/>
    </row>
    <row r="22" customFormat="false" ht="15" hidden="false" customHeight="false" outlineLevel="0" collapsed="false">
      <c r="A22" s="9" t="s">
        <v>70</v>
      </c>
      <c r="B22" s="10"/>
      <c r="C22" s="10"/>
      <c r="D22" s="11" t="str">
        <f aca="false">IF(OR(C22="",C22=0),"",B22/C22)</f>
        <v/>
      </c>
      <c r="E22" s="12"/>
      <c r="F22" s="10"/>
      <c r="G22" s="10"/>
      <c r="H22" s="11" t="str">
        <f aca="false">IF(OR(F22="",F22=0),"",G22/F22)</f>
        <v/>
      </c>
      <c r="I22" s="10"/>
      <c r="J22" s="10"/>
      <c r="K22" s="10"/>
      <c r="L22" s="13"/>
    </row>
    <row r="23" customFormat="false" ht="15" hidden="false" customHeight="false" outlineLevel="0" collapsed="false">
      <c r="A23" s="9" t="s">
        <v>71</v>
      </c>
      <c r="B23" s="10"/>
      <c r="C23" s="10"/>
      <c r="D23" s="11" t="str">
        <f aca="false">IF(OR(C23="",C23=0),"",B23/C23)</f>
        <v/>
      </c>
      <c r="E23" s="12"/>
      <c r="F23" s="10"/>
      <c r="G23" s="10"/>
      <c r="H23" s="11" t="str">
        <f aca="false">IF(OR(F23="",F23=0),"",G23/F23)</f>
        <v/>
      </c>
      <c r="I23" s="10"/>
      <c r="J23" s="10"/>
      <c r="K23" s="10"/>
      <c r="L23" s="13"/>
    </row>
    <row r="24" customFormat="false" ht="15" hidden="false" customHeight="false" outlineLevel="0" collapsed="false">
      <c r="A24" s="9" t="s">
        <v>72</v>
      </c>
      <c r="B24" s="10"/>
      <c r="C24" s="10"/>
      <c r="D24" s="11" t="str">
        <f aca="false">IF(OR(C24="",C24=0),"",B24/C24)</f>
        <v/>
      </c>
      <c r="E24" s="12"/>
      <c r="F24" s="10"/>
      <c r="G24" s="10"/>
      <c r="H24" s="11" t="str">
        <f aca="false">IF(OR(F24="",F24=0),"",G24/F24)</f>
        <v/>
      </c>
      <c r="I24" s="10"/>
      <c r="J24" s="10"/>
      <c r="K24" s="10"/>
      <c r="L24" s="13"/>
    </row>
    <row r="25" customFormat="false" ht="15" hidden="false" customHeight="false" outlineLevel="0" collapsed="false">
      <c r="A25" s="9" t="s">
        <v>73</v>
      </c>
      <c r="B25" s="10"/>
      <c r="C25" s="10"/>
      <c r="D25" s="11" t="str">
        <f aca="false">IF(OR(C25="",C25=0),"",B25/C25)</f>
        <v/>
      </c>
      <c r="E25" s="12"/>
      <c r="F25" s="10"/>
      <c r="G25" s="10"/>
      <c r="H25" s="11" t="str">
        <f aca="false">IF(OR(F25="",F25=0),"",G25/F25)</f>
        <v/>
      </c>
      <c r="I25" s="10"/>
      <c r="J25" s="10"/>
      <c r="K25" s="10"/>
      <c r="L25" s="13"/>
    </row>
    <row r="26" customFormat="false" ht="15" hidden="false" customHeight="false" outlineLevel="0" collapsed="false">
      <c r="A26" s="9" t="s">
        <v>74</v>
      </c>
      <c r="B26" s="10"/>
      <c r="C26" s="10"/>
      <c r="D26" s="11" t="str">
        <f aca="false">IF(OR(C26="",C26=0),"",B26/C26)</f>
        <v/>
      </c>
      <c r="E26" s="12"/>
      <c r="F26" s="10"/>
      <c r="G26" s="10"/>
      <c r="H26" s="11" t="str">
        <f aca="false">IF(OR(F26="",F26=0),"",G26/F26)</f>
        <v/>
      </c>
      <c r="I26" s="10"/>
      <c r="J26" s="10"/>
      <c r="K26" s="10"/>
      <c r="L26" s="13"/>
    </row>
    <row r="27" customFormat="false" ht="15" hidden="false" customHeight="false" outlineLevel="0" collapsed="false">
      <c r="A27" s="9" t="s">
        <v>75</v>
      </c>
      <c r="B27" s="10"/>
      <c r="C27" s="10"/>
      <c r="D27" s="11" t="str">
        <f aca="false">IF(OR(C27="",C27=0),"",B27/C27)</f>
        <v/>
      </c>
      <c r="E27" s="12"/>
      <c r="F27" s="10"/>
      <c r="G27" s="10"/>
      <c r="H27" s="11" t="str">
        <f aca="false">IF(OR(F27="",F27=0),"",G27/F27)</f>
        <v/>
      </c>
      <c r="I27" s="10"/>
      <c r="J27" s="10"/>
      <c r="K27" s="10"/>
      <c r="L27" s="13"/>
    </row>
    <row r="28" customFormat="false" ht="15" hidden="false" customHeight="false" outlineLevel="0" collapsed="false">
      <c r="A28" s="9" t="s">
        <v>76</v>
      </c>
      <c r="B28" s="10"/>
      <c r="C28" s="10"/>
      <c r="D28" s="11" t="str">
        <f aca="false">IF(OR(C28="",C28=0),"",B28/C28)</f>
        <v/>
      </c>
      <c r="E28" s="12"/>
      <c r="F28" s="10"/>
      <c r="G28" s="10"/>
      <c r="H28" s="11" t="str">
        <f aca="false">IF(OR(F28="",F28=0),"",G28/F28)</f>
        <v/>
      </c>
      <c r="I28" s="10"/>
      <c r="J28" s="10"/>
      <c r="K28" s="10"/>
      <c r="L28" s="13"/>
    </row>
    <row r="30" customFormat="false" ht="45.75" hidden="false" customHeight="true" outlineLevel="0" collapsed="false">
      <c r="A30" s="14" t="s">
        <v>77</v>
      </c>
      <c r="B30" s="14"/>
      <c r="C30" s="14"/>
      <c r="D30" s="14"/>
      <c r="E30" s="14"/>
      <c r="F30" s="14"/>
      <c r="G30" s="14"/>
      <c r="H30" s="14"/>
      <c r="I30" s="14"/>
      <c r="J30" s="14"/>
      <c r="K30" s="14"/>
      <c r="L30" s="14"/>
    </row>
    <row r="31" customFormat="false" ht="15" hidden="false" customHeight="false" outlineLevel="0" collapsed="false">
      <c r="A31" s="14"/>
      <c r="B31" s="14"/>
      <c r="C31" s="14"/>
      <c r="D31" s="14"/>
      <c r="E31" s="14"/>
      <c r="F31" s="14"/>
      <c r="G31" s="14"/>
      <c r="H31" s="14"/>
      <c r="I31" s="14"/>
      <c r="J31" s="14"/>
      <c r="K31" s="14"/>
      <c r="L31" s="14"/>
    </row>
    <row r="32" customFormat="false" ht="15" hidden="false" customHeight="false" outlineLevel="0" collapsed="false">
      <c r="A32" s="14"/>
      <c r="B32" s="14"/>
      <c r="C32" s="14"/>
      <c r="D32" s="14"/>
      <c r="E32" s="14"/>
      <c r="F32" s="14"/>
      <c r="G32" s="14"/>
      <c r="H32" s="14"/>
      <c r="I32" s="14"/>
      <c r="J32" s="14"/>
      <c r="K32" s="14"/>
      <c r="L32" s="14"/>
    </row>
  </sheetData>
  <autoFilter ref="A4:L28"/>
  <mergeCells count="3">
    <mergeCell ref="A1:L1"/>
    <mergeCell ref="A2:L2"/>
    <mergeCell ref="A30:L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93C"/>
    <pageSetUpPr fitToPage="false"/>
  </sheetPr>
  <dimension ref="A1:P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16"/>
    <col collapsed="false" customWidth="true" hidden="false" outlineLevel="0" max="4" min="4" style="0" width="12"/>
    <col collapsed="false" customWidth="true" hidden="false" outlineLevel="0" max="5" min="5" style="0" width="4"/>
  </cols>
  <sheetData>
    <row r="1" customFormat="false" ht="30" hidden="false" customHeight="true" outlineLevel="0" collapsed="false">
      <c r="A1" s="1" t="s">
        <v>78</v>
      </c>
      <c r="B1" s="1"/>
      <c r="C1" s="1"/>
      <c r="D1" s="1"/>
      <c r="E1" s="1"/>
      <c r="P1" s="15" t="n">
        <f aca="false">IFERROR(MATCH($B$4,'Monthly Summary'!$A$5:$A$28,0),1)</f>
        <v>3</v>
      </c>
    </row>
    <row r="2" customFormat="false" ht="18" hidden="false" customHeight="true" outlineLevel="0" collapsed="false">
      <c r="A2" s="2" t="s">
        <v>79</v>
      </c>
      <c r="B2" s="2"/>
      <c r="C2" s="2"/>
      <c r="D2" s="2"/>
      <c r="E2" s="2"/>
    </row>
    <row r="4" customFormat="false" ht="15" hidden="false" customHeight="false" outlineLevel="0" collapsed="false">
      <c r="A4" s="16" t="s">
        <v>80</v>
      </c>
      <c r="B4" s="17" t="s">
        <v>55</v>
      </c>
    </row>
    <row r="6" customFormat="false" ht="27.75" hidden="false" customHeight="true" outlineLevel="0" collapsed="false">
      <c r="A6" s="8" t="s">
        <v>81</v>
      </c>
      <c r="B6" s="8" t="s">
        <v>82</v>
      </c>
      <c r="C6" s="8" t="s">
        <v>83</v>
      </c>
      <c r="D6" s="8" t="s">
        <v>84</v>
      </c>
    </row>
    <row r="7" customFormat="false" ht="15" hidden="false" customHeight="false" outlineLevel="0" collapsed="false">
      <c r="A7" s="18" t="s">
        <v>42</v>
      </c>
      <c r="B7" s="19" t="n">
        <f aca="false">IFERROR(INDEX('Monthly Summary'!$B$5:$B$28,$P$1),"")</f>
        <v>5600</v>
      </c>
      <c r="C7" s="19" t="n">
        <f aca="false">IFERROR(IF($P$1&lt;=1,"",INDEX('Monthly Summary'!$B$5:$B$28,$P$1-1)),"")</f>
        <v>4800</v>
      </c>
      <c r="D7" s="20" t="n">
        <f aca="false">IF(OR(C7="",C7=0,B7=""),"",(B7-C7)/C7)</f>
        <v>0.166666666666667</v>
      </c>
    </row>
    <row r="8" customFormat="false" ht="15" hidden="false" customHeight="false" outlineLevel="0" collapsed="false">
      <c r="A8" s="18" t="s">
        <v>43</v>
      </c>
      <c r="B8" s="19" t="n">
        <f aca="false">IFERROR(INDEX('Monthly Summary'!$C$5:$C$28,$P$1),"")</f>
        <v>210000</v>
      </c>
      <c r="C8" s="19" t="n">
        <f aca="false">IFERROR(IF($P$1&lt;=1,"",INDEX('Monthly Summary'!$C$5:$C$28,$P$1-1)),"")</f>
        <v>195000</v>
      </c>
      <c r="D8" s="20" t="n">
        <f aca="false">IF(OR(C8="",C8=0,B8=""),"",(B8-C8)/C8)</f>
        <v>0.0769230769230769</v>
      </c>
    </row>
    <row r="9" customFormat="false" ht="15" hidden="false" customHeight="false" outlineLevel="0" collapsed="false">
      <c r="A9" s="18" t="s">
        <v>44</v>
      </c>
      <c r="B9" s="21" t="n">
        <f aca="false">IFERROR(INDEX('Monthly Summary'!$D$5:$D$28,$P$1),"")</f>
        <v>0.0266666666666667</v>
      </c>
      <c r="C9" s="21" t="n">
        <f aca="false">IFERROR(IF($P$1&lt;=1,"",INDEX('Monthly Summary'!$D$5:$D$28,$P$1-1)),"")</f>
        <v>0.0246153846153846</v>
      </c>
      <c r="D9" s="20" t="n">
        <f aca="false">IF(OR(C9="",B9=""),"",B9-C9)</f>
        <v>0.00205128205128205</v>
      </c>
    </row>
    <row r="10" customFormat="false" ht="15" hidden="false" customHeight="false" outlineLevel="0" collapsed="false">
      <c r="A10" s="18" t="s">
        <v>45</v>
      </c>
      <c r="B10" s="22" t="n">
        <f aca="false">IFERROR(INDEX('Monthly Summary'!$E$5:$E$28,$P$1),"")</f>
        <v>16</v>
      </c>
      <c r="C10" s="22" t="n">
        <f aca="false">IFERROR(IF($P$1&lt;=1,"",INDEX('Monthly Summary'!$E$5:$E$28,$P$1-1)),"")</f>
        <v>17.2</v>
      </c>
      <c r="D10" s="23" t="n">
        <f aca="false">IF(OR(C10="",B10=""),"",B10-C10)</f>
        <v>-1.2</v>
      </c>
    </row>
    <row r="11" customFormat="false" ht="15" hidden="false" customHeight="false" outlineLevel="0" collapsed="false">
      <c r="A11" s="18" t="s">
        <v>46</v>
      </c>
      <c r="B11" s="19" t="n">
        <f aca="false">IFERROR(INDEX('Monthly Summary'!$F$5:$F$28,$P$1),"")</f>
        <v>6800</v>
      </c>
      <c r="C11" s="19" t="n">
        <f aca="false">IFERROR(IF($P$1&lt;=1,"",INDEX('Monthly Summary'!$F$5:$F$28,$P$1-1)),"")</f>
        <v>5900</v>
      </c>
      <c r="D11" s="20" t="n">
        <f aca="false">IF(OR(C11="",C11=0,B11=""),"",(B11-C11)/C11)</f>
        <v>0.152542372881356</v>
      </c>
    </row>
    <row r="12" customFormat="false" ht="15" hidden="false" customHeight="false" outlineLevel="0" collapsed="false">
      <c r="A12" s="18" t="s">
        <v>47</v>
      </c>
      <c r="B12" s="19" t="n">
        <f aca="false">IFERROR(INDEX('Monthly Summary'!$G$5:$G$28,$P$1),"")</f>
        <v>47</v>
      </c>
      <c r="C12" s="19" t="n">
        <f aca="false">IFERROR(IF($P$1&lt;=1,"",INDEX('Monthly Summary'!$G$5:$G$28,$P$1-1)),"")</f>
        <v>38</v>
      </c>
      <c r="D12" s="20" t="n">
        <f aca="false">IF(OR(C12="",C12=0,B12=""),"",(B12-C12)/C12)</f>
        <v>0.236842105263158</v>
      </c>
    </row>
    <row r="13" customFormat="false" ht="15" hidden="false" customHeight="false" outlineLevel="0" collapsed="false">
      <c r="A13" s="18" t="s">
        <v>48</v>
      </c>
      <c r="B13" s="21" t="n">
        <f aca="false">IFERROR(INDEX('Monthly Summary'!$H$5:$H$28,$P$1),"")</f>
        <v>0.00691176470588235</v>
      </c>
      <c r="C13" s="21" t="n">
        <f aca="false">IFERROR(IF($P$1&lt;=1,"",INDEX('Monthly Summary'!$H$5:$H$28,$P$1-1)),"")</f>
        <v>0.0064406779661017</v>
      </c>
      <c r="D13" s="20" t="n">
        <f aca="false">IF(OR(C13="",B13=""),"",B13-C13)</f>
        <v>0.000471086739780659</v>
      </c>
    </row>
    <row r="14" customFormat="false" ht="15" hidden="false" customHeight="false" outlineLevel="0" collapsed="false">
      <c r="A14" s="18" t="s">
        <v>49</v>
      </c>
      <c r="B14" s="19" t="n">
        <f aca="false">IFERROR(INDEX('Monthly Summary'!$I$5:$I$28,$P$1),"")</f>
        <v>1450</v>
      </c>
      <c r="C14" s="19" t="n">
        <f aca="false">IFERROR(IF($P$1&lt;=1,"",INDEX('Monthly Summary'!$I$5:$I$28,$P$1-1)),"")</f>
        <v>1320</v>
      </c>
      <c r="D14" s="20" t="n">
        <f aca="false">IF(OR(C14="",C14=0,B14=""),"",(B14-C14)/C14)</f>
        <v>0.0984848484848485</v>
      </c>
    </row>
    <row r="15" customFormat="false" ht="15" hidden="false" customHeight="false" outlineLevel="0" collapsed="false">
      <c r="A15" s="18" t="s">
        <v>51</v>
      </c>
      <c r="B15" s="19" t="n">
        <f aca="false">IFERROR(INDEX('Monthly Summary'!$K$5:$K$28,$P$1),"")</f>
        <v>365</v>
      </c>
      <c r="C15" s="19" t="n">
        <f aca="false">IFERROR(IF($P$1&lt;=1,"",INDEX('Monthly Summary'!$K$5:$K$28,$P$1-1)),"")</f>
        <v>352</v>
      </c>
      <c r="D15" s="20" t="n">
        <f aca="false">IF(OR(C15="",C15=0,B15=""),"",(B15-C15)/C15)</f>
        <v>0.0369318181818182</v>
      </c>
    </row>
    <row r="16" customFormat="false" ht="15" hidden="false" customHeight="false" outlineLevel="0" collapsed="false">
      <c r="A16" s="18" t="s">
        <v>52</v>
      </c>
      <c r="B16" s="24" t="n">
        <f aca="false">IFERROR(INDEX('Monthly Summary'!$L$5:$L$28,$P$1),"")</f>
        <v>44</v>
      </c>
      <c r="C16" s="24" t="n">
        <f aca="false">IFERROR(IF($P$1&lt;=1,"",INDEX('Monthly Summary'!$L$5:$L$28,$P$1-1)),"")</f>
        <v>43</v>
      </c>
      <c r="D16" s="25" t="n">
        <f aca="false">IF(OR(C16="",B16=""),"",B16-C16)</f>
        <v>1</v>
      </c>
    </row>
    <row r="18" customFormat="false" ht="45.75" hidden="false" customHeight="true" outlineLevel="0" collapsed="false">
      <c r="A18" s="14" t="s">
        <v>85</v>
      </c>
      <c r="B18" s="14"/>
      <c r="C18" s="14"/>
      <c r="D18" s="14"/>
    </row>
    <row r="19" customFormat="false" ht="15" hidden="false" customHeight="false" outlineLevel="0" collapsed="false">
      <c r="A19" s="14"/>
      <c r="B19" s="14"/>
      <c r="C19" s="14"/>
      <c r="D19" s="14"/>
    </row>
    <row r="20" customFormat="false" ht="15" hidden="false" customHeight="false" outlineLevel="0" collapsed="false">
      <c r="A20" s="14"/>
      <c r="B20" s="14"/>
      <c r="C20" s="14"/>
      <c r="D20" s="14"/>
    </row>
  </sheetData>
  <mergeCells count="3">
    <mergeCell ref="A1:E1"/>
    <mergeCell ref="A2:E2"/>
    <mergeCell ref="A18:D20"/>
  </mergeCells>
  <dataValidations count="1">
    <dataValidation allowBlank="true" errorStyle="stop" operator="between" showDropDown="false" showErrorMessage="false" showInputMessage="false" sqref="B4" type="list">
      <formula1>'Monthly Summary'!$A$5:$A$28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Q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5" min="5" style="0" width="10"/>
    <col collapsed="false" customWidth="true" hidden="false" outlineLevel="0" max="6" min="6" style="0" width="12"/>
    <col collapsed="false" customWidth="true" hidden="false" outlineLevel="0" max="7" min="7" style="0" width="10"/>
    <col collapsed="false" customWidth="true" hidden="false" outlineLevel="0" max="8" min="8" style="0" width="12"/>
    <col collapsed="false" customWidth="true" hidden="false" outlineLevel="0" max="9" min="9" style="0" width="10"/>
    <col collapsed="false" customWidth="true" hidden="false" outlineLevel="0" max="10" min="10" style="0" width="12"/>
    <col collapsed="false" customWidth="true" hidden="false" outlineLevel="0" max="11" min="11" style="0" width="10"/>
    <col collapsed="false" customWidth="true" hidden="false" outlineLevel="0" max="12" min="12" style="0" width="12"/>
    <col collapsed="false" customWidth="true" hidden="false" outlineLevel="0" max="13" min="13" style="0" width="10"/>
    <col collapsed="false" customWidth="true" hidden="false" outlineLevel="0" max="14" min="14" style="0" width="12"/>
    <col collapsed="false" customWidth="true" hidden="false" outlineLevel="0" max="15" min="15" style="0" width="10"/>
    <col collapsed="false" customWidth="true" hidden="false" outlineLevel="0" max="16" min="16" style="0" width="12"/>
    <col collapsed="false" customWidth="true" hidden="false" outlineLevel="0" max="17" min="17" style="0" width="10"/>
  </cols>
  <sheetData>
    <row r="1" customFormat="false" ht="30" hidden="false" customHeight="true" outlineLevel="0" collapsed="false">
      <c r="A1" s="1" t="s">
        <v>86</v>
      </c>
      <c r="B1" s="1"/>
      <c r="C1" s="1"/>
      <c r="D1" s="1"/>
      <c r="E1" s="1"/>
      <c r="F1" s="1"/>
      <c r="G1" s="1"/>
      <c r="H1" s="1"/>
      <c r="I1" s="1"/>
      <c r="J1" s="1"/>
      <c r="K1" s="1"/>
      <c r="L1" s="1"/>
      <c r="M1" s="1"/>
      <c r="N1" s="1"/>
      <c r="O1" s="1"/>
      <c r="P1" s="1"/>
      <c r="Q1" s="1"/>
    </row>
    <row r="2" customFormat="false" ht="18" hidden="false" customHeight="true" outlineLevel="0" collapsed="false">
      <c r="A2" s="2" t="s">
        <v>87</v>
      </c>
      <c r="B2" s="2"/>
      <c r="C2" s="2"/>
      <c r="D2" s="2"/>
      <c r="E2" s="2"/>
      <c r="F2" s="2"/>
      <c r="G2" s="2"/>
      <c r="H2" s="2"/>
      <c r="I2" s="2"/>
      <c r="J2" s="2"/>
      <c r="K2" s="2"/>
      <c r="L2" s="2"/>
      <c r="M2" s="2"/>
      <c r="N2" s="2"/>
      <c r="O2" s="2"/>
      <c r="P2" s="2"/>
      <c r="Q2" s="2"/>
    </row>
    <row r="4" customFormat="false" ht="18" hidden="false" customHeight="true" outlineLevel="0" collapsed="false">
      <c r="A4" s="26" t="s">
        <v>41</v>
      </c>
      <c r="B4" s="26" t="s">
        <v>42</v>
      </c>
      <c r="C4" s="26"/>
      <c r="D4" s="26" t="s">
        <v>43</v>
      </c>
      <c r="E4" s="26"/>
      <c r="F4" s="26" t="s">
        <v>44</v>
      </c>
      <c r="G4" s="26"/>
      <c r="H4" s="26" t="s">
        <v>45</v>
      </c>
      <c r="I4" s="26"/>
      <c r="J4" s="26" t="s">
        <v>46</v>
      </c>
      <c r="K4" s="26"/>
      <c r="L4" s="26" t="s">
        <v>47</v>
      </c>
      <c r="M4" s="26"/>
      <c r="N4" s="26" t="s">
        <v>48</v>
      </c>
      <c r="O4" s="26"/>
      <c r="P4" s="26" t="s">
        <v>52</v>
      </c>
      <c r="Q4" s="26"/>
    </row>
    <row r="5" customFormat="false" ht="19.5" hidden="false" customHeight="true" outlineLevel="0" collapsed="false">
      <c r="A5" s="26"/>
      <c r="B5" s="26" t="s">
        <v>88</v>
      </c>
      <c r="C5" s="26" t="s">
        <v>89</v>
      </c>
      <c r="D5" s="26" t="s">
        <v>88</v>
      </c>
      <c r="E5" s="26" t="s">
        <v>89</v>
      </c>
      <c r="F5" s="26" t="s">
        <v>88</v>
      </c>
      <c r="G5" s="26" t="s">
        <v>90</v>
      </c>
      <c r="H5" s="26" t="s">
        <v>88</v>
      </c>
      <c r="I5" s="26" t="s">
        <v>89</v>
      </c>
      <c r="J5" s="26" t="s">
        <v>88</v>
      </c>
      <c r="K5" s="26" t="s">
        <v>89</v>
      </c>
      <c r="L5" s="26" t="s">
        <v>88</v>
      </c>
      <c r="M5" s="26" t="s">
        <v>89</v>
      </c>
      <c r="N5" s="26" t="s">
        <v>88</v>
      </c>
      <c r="O5" s="26" t="s">
        <v>90</v>
      </c>
      <c r="P5" s="26" t="s">
        <v>88</v>
      </c>
      <c r="Q5" s="26" t="s">
        <v>89</v>
      </c>
    </row>
    <row r="6" customFormat="false" ht="15" hidden="false" customHeight="false" outlineLevel="0" collapsed="false">
      <c r="A6" s="27" t="str">
        <f aca="false">'Monthly Summary'!A5</f>
        <v>Month 1</v>
      </c>
      <c r="B6" s="19" t="n">
        <f aca="false">IF('Monthly Summary'!B5="","",'Monthly Summary'!B5)</f>
        <v>4200</v>
      </c>
      <c r="C6" s="28" t="str">
        <f aca="false">"n/a"</f>
        <v>n/a</v>
      </c>
      <c r="D6" s="19" t="n">
        <f aca="false">IF('Monthly Summary'!C5="","",'Monthly Summary'!C5)</f>
        <v>180000</v>
      </c>
      <c r="E6" s="28" t="str">
        <f aca="false">"n/a"</f>
        <v>n/a</v>
      </c>
      <c r="F6" s="21" t="n">
        <f aca="false">IF('Monthly Summary'!D5="","",'Monthly Summary'!D5)</f>
        <v>0.0233333333333333</v>
      </c>
      <c r="G6" s="28" t="str">
        <f aca="false">"n/a"</f>
        <v>n/a</v>
      </c>
      <c r="H6" s="22" t="n">
        <f aca="false">IF('Monthly Summary'!E5="","",'Monthly Summary'!E5)</f>
        <v>18.5</v>
      </c>
      <c r="I6" s="28" t="str">
        <f aca="false">"n/a"</f>
        <v>n/a</v>
      </c>
      <c r="J6" s="19" t="n">
        <f aca="false">IF('Monthly Summary'!F5="","",'Monthly Summary'!F5)</f>
        <v>5200</v>
      </c>
      <c r="K6" s="28" t="str">
        <f aca="false">"n/a"</f>
        <v>n/a</v>
      </c>
      <c r="L6" s="19" t="n">
        <f aca="false">IF('Monthly Summary'!G5="","",'Monthly Summary'!G5)</f>
        <v>30</v>
      </c>
      <c r="M6" s="28" t="str">
        <f aca="false">"n/a"</f>
        <v>n/a</v>
      </c>
      <c r="N6" s="21" t="n">
        <f aca="false">IF('Monthly Summary'!H5="","",'Monthly Summary'!H5)</f>
        <v>0.00576923076923077</v>
      </c>
      <c r="O6" s="28" t="str">
        <f aca="false">"n/a"</f>
        <v>n/a</v>
      </c>
      <c r="P6" s="24" t="n">
        <f aca="false">IF('Monthly Summary'!L5="","",'Monthly Summary'!L5)</f>
        <v>42</v>
      </c>
      <c r="Q6" s="28" t="str">
        <f aca="false">"n/a"</f>
        <v>n/a</v>
      </c>
    </row>
    <row r="7" customFormat="false" ht="15" hidden="false" customHeight="false" outlineLevel="0" collapsed="false">
      <c r="A7" s="27" t="str">
        <f aca="false">'Monthly Summary'!A6</f>
        <v>Month 2</v>
      </c>
      <c r="B7" s="19" t="n">
        <f aca="false">IF('Monthly Summary'!B6="","",'Monthly Summary'!B6)</f>
        <v>4800</v>
      </c>
      <c r="C7" s="20" t="n">
        <f aca="false">IF(OR('Monthly Summary'!B6="",'Monthly Summary'!B5="",'Monthly Summary'!B5=0),"",('Monthly Summary'!B6-'Monthly Summary'!B5)/'Monthly Summary'!B5)</f>
        <v>0.142857142857143</v>
      </c>
      <c r="D7" s="19" t="n">
        <f aca="false">IF('Monthly Summary'!C6="","",'Monthly Summary'!C6)</f>
        <v>195000</v>
      </c>
      <c r="E7" s="20" t="n">
        <f aca="false">IF(OR('Monthly Summary'!C6="",'Monthly Summary'!C5="",'Monthly Summary'!C5=0),"",('Monthly Summary'!C6-'Monthly Summary'!C5)/'Monthly Summary'!C5)</f>
        <v>0.0833333333333333</v>
      </c>
      <c r="F7" s="21" t="n">
        <f aca="false">IF('Monthly Summary'!D6="","",'Monthly Summary'!D6)</f>
        <v>0.0246153846153846</v>
      </c>
      <c r="G7" s="29" t="n">
        <f aca="false">IF(OR('Monthly Summary'!D6="",'Monthly Summary'!D5=""),"",'Monthly Summary'!D6-'Monthly Summary'!D5)</f>
        <v>0.00128205128205128</v>
      </c>
      <c r="H7" s="22" t="n">
        <f aca="false">IF('Monthly Summary'!E6="","",'Monthly Summary'!E6)</f>
        <v>17.2</v>
      </c>
      <c r="I7" s="23" t="n">
        <f aca="false">IF(OR('Monthly Summary'!E6="",'Monthly Summary'!E5=""),"",'Monthly Summary'!E6-'Monthly Summary'!E5)</f>
        <v>-1.3</v>
      </c>
      <c r="J7" s="19" t="n">
        <f aca="false">IF('Monthly Summary'!F6="","",'Monthly Summary'!F6)</f>
        <v>5900</v>
      </c>
      <c r="K7" s="20" t="n">
        <f aca="false">IF(OR('Monthly Summary'!F6="",'Monthly Summary'!F5="",'Monthly Summary'!F5=0),"",('Monthly Summary'!F6-'Monthly Summary'!F5)/'Monthly Summary'!F5)</f>
        <v>0.134615384615385</v>
      </c>
      <c r="L7" s="19" t="n">
        <f aca="false">IF('Monthly Summary'!G6="","",'Monthly Summary'!G6)</f>
        <v>38</v>
      </c>
      <c r="M7" s="20" t="n">
        <f aca="false">IF(OR('Monthly Summary'!G6="",'Monthly Summary'!G5="",'Monthly Summary'!G5=0),"",('Monthly Summary'!G6-'Monthly Summary'!G5)/'Monthly Summary'!G5)</f>
        <v>0.266666666666667</v>
      </c>
      <c r="N7" s="21" t="n">
        <f aca="false">IF('Monthly Summary'!H6="","",'Monthly Summary'!H6)</f>
        <v>0.0064406779661017</v>
      </c>
      <c r="O7" s="29" t="n">
        <f aca="false">IF(OR('Monthly Summary'!H6="",'Monthly Summary'!H5=""),"",'Monthly Summary'!H6-'Monthly Summary'!H5)</f>
        <v>0.000671447196870925</v>
      </c>
      <c r="P7" s="24" t="n">
        <f aca="false">IF('Monthly Summary'!L6="","",'Monthly Summary'!L6)</f>
        <v>43</v>
      </c>
      <c r="Q7" s="25" t="n">
        <f aca="false">IF(OR('Monthly Summary'!L6="",'Monthly Summary'!L5=""),"",'Monthly Summary'!L6-'Monthly Summary'!L5)</f>
        <v>1</v>
      </c>
    </row>
    <row r="8" customFormat="false" ht="15" hidden="false" customHeight="false" outlineLevel="0" collapsed="false">
      <c r="A8" s="27" t="str">
        <f aca="false">'Monthly Summary'!A7</f>
        <v>Month 3</v>
      </c>
      <c r="B8" s="19" t="n">
        <f aca="false">IF('Monthly Summary'!B7="","",'Monthly Summary'!B7)</f>
        <v>5600</v>
      </c>
      <c r="C8" s="20" t="n">
        <f aca="false">IF(OR('Monthly Summary'!B7="",'Monthly Summary'!B6="",'Monthly Summary'!B6=0),"",('Monthly Summary'!B7-'Monthly Summary'!B6)/'Monthly Summary'!B6)</f>
        <v>0.166666666666667</v>
      </c>
      <c r="D8" s="19" t="n">
        <f aca="false">IF('Monthly Summary'!C7="","",'Monthly Summary'!C7)</f>
        <v>210000</v>
      </c>
      <c r="E8" s="20" t="n">
        <f aca="false">IF(OR('Monthly Summary'!C7="",'Monthly Summary'!C6="",'Monthly Summary'!C6=0),"",('Monthly Summary'!C7-'Monthly Summary'!C6)/'Monthly Summary'!C6)</f>
        <v>0.0769230769230769</v>
      </c>
      <c r="F8" s="21" t="n">
        <f aca="false">IF('Monthly Summary'!D7="","",'Monthly Summary'!D7)</f>
        <v>0.0266666666666667</v>
      </c>
      <c r="G8" s="29" t="n">
        <f aca="false">IF(OR('Monthly Summary'!D7="",'Monthly Summary'!D6=""),"",'Monthly Summary'!D7-'Monthly Summary'!D6)</f>
        <v>0.00205128205128205</v>
      </c>
      <c r="H8" s="22" t="n">
        <f aca="false">IF('Monthly Summary'!E7="","",'Monthly Summary'!E7)</f>
        <v>16</v>
      </c>
      <c r="I8" s="23" t="n">
        <f aca="false">IF(OR('Monthly Summary'!E7="",'Monthly Summary'!E6=""),"",'Monthly Summary'!E7-'Monthly Summary'!E6)</f>
        <v>-1.2</v>
      </c>
      <c r="J8" s="19" t="n">
        <f aca="false">IF('Monthly Summary'!F7="","",'Monthly Summary'!F7)</f>
        <v>6800</v>
      </c>
      <c r="K8" s="20" t="n">
        <f aca="false">IF(OR('Monthly Summary'!F7="",'Monthly Summary'!F6="",'Monthly Summary'!F6=0),"",('Monthly Summary'!F7-'Monthly Summary'!F6)/'Monthly Summary'!F6)</f>
        <v>0.152542372881356</v>
      </c>
      <c r="L8" s="19" t="n">
        <f aca="false">IF('Monthly Summary'!G7="","",'Monthly Summary'!G7)</f>
        <v>47</v>
      </c>
      <c r="M8" s="20" t="n">
        <f aca="false">IF(OR('Monthly Summary'!G7="",'Monthly Summary'!G6="",'Monthly Summary'!G6=0),"",('Monthly Summary'!G7-'Monthly Summary'!G6)/'Monthly Summary'!G6)</f>
        <v>0.236842105263158</v>
      </c>
      <c r="N8" s="21" t="n">
        <f aca="false">IF('Monthly Summary'!H7="","",'Monthly Summary'!H7)</f>
        <v>0.00691176470588235</v>
      </c>
      <c r="O8" s="29" t="n">
        <f aca="false">IF(OR('Monthly Summary'!H7="",'Monthly Summary'!H6=""),"",'Monthly Summary'!H7-'Monthly Summary'!H6)</f>
        <v>0.000471086739780659</v>
      </c>
      <c r="P8" s="24" t="n">
        <f aca="false">IF('Monthly Summary'!L7="","",'Monthly Summary'!L7)</f>
        <v>44</v>
      </c>
      <c r="Q8" s="25" t="n">
        <f aca="false">IF(OR('Monthly Summary'!L7="",'Monthly Summary'!L6=""),"",'Monthly Summary'!L7-'Monthly Summary'!L6)</f>
        <v>1</v>
      </c>
    </row>
    <row r="9" customFormat="false" ht="15" hidden="false" customHeight="false" outlineLevel="0" collapsed="false">
      <c r="A9" s="27" t="str">
        <f aca="false">'Monthly Summary'!A8</f>
        <v>Month 4</v>
      </c>
      <c r="B9" s="19" t="str">
        <f aca="false">IF('Monthly Summary'!B8="","",'Monthly Summary'!B8)</f>
        <v/>
      </c>
      <c r="C9" s="20" t="str">
        <f aca="false">IF(OR('Monthly Summary'!B8="",'Monthly Summary'!B7="",'Monthly Summary'!B7=0),"",('Monthly Summary'!B8-'Monthly Summary'!B7)/'Monthly Summary'!B7)</f>
        <v/>
      </c>
      <c r="D9" s="19" t="str">
        <f aca="false">IF('Monthly Summary'!C8="","",'Monthly Summary'!C8)</f>
        <v/>
      </c>
      <c r="E9" s="20" t="str">
        <f aca="false">IF(OR('Monthly Summary'!C8="",'Monthly Summary'!C7="",'Monthly Summary'!C7=0),"",('Monthly Summary'!C8-'Monthly Summary'!C7)/'Monthly Summary'!C7)</f>
        <v/>
      </c>
      <c r="F9" s="21" t="str">
        <f aca="false">IF('Monthly Summary'!D8="","",'Monthly Summary'!D8)</f>
        <v/>
      </c>
      <c r="G9" s="29" t="str">
        <f aca="false">IF(OR('Monthly Summary'!D8="",'Monthly Summary'!D7=""),"",'Monthly Summary'!D8-'Monthly Summary'!D7)</f>
        <v/>
      </c>
      <c r="H9" s="22" t="str">
        <f aca="false">IF('Monthly Summary'!E8="","",'Monthly Summary'!E8)</f>
        <v/>
      </c>
      <c r="I9" s="23" t="str">
        <f aca="false">IF(OR('Monthly Summary'!E8="",'Monthly Summary'!E7=""),"",'Monthly Summary'!E8-'Monthly Summary'!E7)</f>
        <v/>
      </c>
      <c r="J9" s="19" t="str">
        <f aca="false">IF('Monthly Summary'!F8="","",'Monthly Summary'!F8)</f>
        <v/>
      </c>
      <c r="K9" s="20" t="str">
        <f aca="false">IF(OR('Monthly Summary'!F8="",'Monthly Summary'!F7="",'Monthly Summary'!F7=0),"",('Monthly Summary'!F8-'Monthly Summary'!F7)/'Monthly Summary'!F7)</f>
        <v/>
      </c>
      <c r="L9" s="19" t="str">
        <f aca="false">IF('Monthly Summary'!G8="","",'Monthly Summary'!G8)</f>
        <v/>
      </c>
      <c r="M9" s="20" t="str">
        <f aca="false">IF(OR('Monthly Summary'!G8="",'Monthly Summary'!G7="",'Monthly Summary'!G7=0),"",('Monthly Summary'!G8-'Monthly Summary'!G7)/'Monthly Summary'!G7)</f>
        <v/>
      </c>
      <c r="N9" s="21" t="str">
        <f aca="false">IF('Monthly Summary'!H8="","",'Monthly Summary'!H8)</f>
        <v/>
      </c>
      <c r="O9" s="29" t="str">
        <f aca="false">IF(OR('Monthly Summary'!H8="",'Monthly Summary'!H7=""),"",'Monthly Summary'!H8-'Monthly Summary'!H7)</f>
        <v/>
      </c>
      <c r="P9" s="24" t="str">
        <f aca="false">IF('Monthly Summary'!L8="","",'Monthly Summary'!L8)</f>
        <v/>
      </c>
      <c r="Q9" s="25" t="str">
        <f aca="false">IF(OR('Monthly Summary'!L8="",'Monthly Summary'!L7=""),"",'Monthly Summary'!L8-'Monthly Summary'!L7)</f>
        <v/>
      </c>
    </row>
    <row r="10" customFormat="false" ht="15" hidden="false" customHeight="false" outlineLevel="0" collapsed="false">
      <c r="A10" s="27" t="str">
        <f aca="false">'Monthly Summary'!A9</f>
        <v>Month 5</v>
      </c>
      <c r="B10" s="19" t="str">
        <f aca="false">IF('Monthly Summary'!B9="","",'Monthly Summary'!B9)</f>
        <v/>
      </c>
      <c r="C10" s="20" t="str">
        <f aca="false">IF(OR('Monthly Summary'!B9="",'Monthly Summary'!B8="",'Monthly Summary'!B8=0),"",('Monthly Summary'!B9-'Monthly Summary'!B8)/'Monthly Summary'!B8)</f>
        <v/>
      </c>
      <c r="D10" s="19" t="str">
        <f aca="false">IF('Monthly Summary'!C9="","",'Monthly Summary'!C9)</f>
        <v/>
      </c>
      <c r="E10" s="20" t="str">
        <f aca="false">IF(OR('Monthly Summary'!C9="",'Monthly Summary'!C8="",'Monthly Summary'!C8=0),"",('Monthly Summary'!C9-'Monthly Summary'!C8)/'Monthly Summary'!C8)</f>
        <v/>
      </c>
      <c r="F10" s="21" t="str">
        <f aca="false">IF('Monthly Summary'!D9="","",'Monthly Summary'!D9)</f>
        <v/>
      </c>
      <c r="G10" s="29" t="str">
        <f aca="false">IF(OR('Monthly Summary'!D9="",'Monthly Summary'!D8=""),"",'Monthly Summary'!D9-'Monthly Summary'!D8)</f>
        <v/>
      </c>
      <c r="H10" s="22" t="str">
        <f aca="false">IF('Monthly Summary'!E9="","",'Monthly Summary'!E9)</f>
        <v/>
      </c>
      <c r="I10" s="23" t="str">
        <f aca="false">IF(OR('Monthly Summary'!E9="",'Monthly Summary'!E8=""),"",'Monthly Summary'!E9-'Monthly Summary'!E8)</f>
        <v/>
      </c>
      <c r="J10" s="19" t="str">
        <f aca="false">IF('Monthly Summary'!F9="","",'Monthly Summary'!F9)</f>
        <v/>
      </c>
      <c r="K10" s="20" t="str">
        <f aca="false">IF(OR('Monthly Summary'!F9="",'Monthly Summary'!F8="",'Monthly Summary'!F8=0),"",('Monthly Summary'!F9-'Monthly Summary'!F8)/'Monthly Summary'!F8)</f>
        <v/>
      </c>
      <c r="L10" s="19" t="str">
        <f aca="false">IF('Monthly Summary'!G9="","",'Monthly Summary'!G9)</f>
        <v/>
      </c>
      <c r="M10" s="20" t="str">
        <f aca="false">IF(OR('Monthly Summary'!G9="",'Monthly Summary'!G8="",'Monthly Summary'!G8=0),"",('Monthly Summary'!G9-'Monthly Summary'!G8)/'Monthly Summary'!G8)</f>
        <v/>
      </c>
      <c r="N10" s="21" t="str">
        <f aca="false">IF('Monthly Summary'!H9="","",'Monthly Summary'!H9)</f>
        <v/>
      </c>
      <c r="O10" s="29" t="str">
        <f aca="false">IF(OR('Monthly Summary'!H9="",'Monthly Summary'!H8=""),"",'Monthly Summary'!H9-'Monthly Summary'!H8)</f>
        <v/>
      </c>
      <c r="P10" s="24" t="str">
        <f aca="false">IF('Monthly Summary'!L9="","",'Monthly Summary'!L9)</f>
        <v/>
      </c>
      <c r="Q10" s="25" t="str">
        <f aca="false">IF(OR('Monthly Summary'!L9="",'Monthly Summary'!L8=""),"",'Monthly Summary'!L9-'Monthly Summary'!L8)</f>
        <v/>
      </c>
    </row>
    <row r="11" customFormat="false" ht="15" hidden="false" customHeight="false" outlineLevel="0" collapsed="false">
      <c r="A11" s="27" t="str">
        <f aca="false">'Monthly Summary'!A10</f>
        <v>Month 6</v>
      </c>
      <c r="B11" s="19" t="str">
        <f aca="false">IF('Monthly Summary'!B10="","",'Monthly Summary'!B10)</f>
        <v/>
      </c>
      <c r="C11" s="20" t="str">
        <f aca="false">IF(OR('Monthly Summary'!B10="",'Monthly Summary'!B9="",'Monthly Summary'!B9=0),"",('Monthly Summary'!B10-'Monthly Summary'!B9)/'Monthly Summary'!B9)</f>
        <v/>
      </c>
      <c r="D11" s="19" t="str">
        <f aca="false">IF('Monthly Summary'!C10="","",'Monthly Summary'!C10)</f>
        <v/>
      </c>
      <c r="E11" s="20" t="str">
        <f aca="false">IF(OR('Monthly Summary'!C10="",'Monthly Summary'!C9="",'Monthly Summary'!C9=0),"",('Monthly Summary'!C10-'Monthly Summary'!C9)/'Monthly Summary'!C9)</f>
        <v/>
      </c>
      <c r="F11" s="21" t="str">
        <f aca="false">IF('Monthly Summary'!D10="","",'Monthly Summary'!D10)</f>
        <v/>
      </c>
      <c r="G11" s="29" t="str">
        <f aca="false">IF(OR('Monthly Summary'!D10="",'Monthly Summary'!D9=""),"",'Monthly Summary'!D10-'Monthly Summary'!D9)</f>
        <v/>
      </c>
      <c r="H11" s="22" t="str">
        <f aca="false">IF('Monthly Summary'!E10="","",'Monthly Summary'!E10)</f>
        <v/>
      </c>
      <c r="I11" s="23" t="str">
        <f aca="false">IF(OR('Monthly Summary'!E10="",'Monthly Summary'!E9=""),"",'Monthly Summary'!E10-'Monthly Summary'!E9)</f>
        <v/>
      </c>
      <c r="J11" s="19" t="str">
        <f aca="false">IF('Monthly Summary'!F10="","",'Monthly Summary'!F10)</f>
        <v/>
      </c>
      <c r="K11" s="20" t="str">
        <f aca="false">IF(OR('Monthly Summary'!F10="",'Monthly Summary'!F9="",'Monthly Summary'!F9=0),"",('Monthly Summary'!F10-'Monthly Summary'!F9)/'Monthly Summary'!F9)</f>
        <v/>
      </c>
      <c r="L11" s="19" t="str">
        <f aca="false">IF('Monthly Summary'!G10="","",'Monthly Summary'!G10)</f>
        <v/>
      </c>
      <c r="M11" s="20" t="str">
        <f aca="false">IF(OR('Monthly Summary'!G10="",'Monthly Summary'!G9="",'Monthly Summary'!G9=0),"",('Monthly Summary'!G10-'Monthly Summary'!G9)/'Monthly Summary'!G9)</f>
        <v/>
      </c>
      <c r="N11" s="21" t="str">
        <f aca="false">IF('Monthly Summary'!H10="","",'Monthly Summary'!H10)</f>
        <v/>
      </c>
      <c r="O11" s="29" t="str">
        <f aca="false">IF(OR('Monthly Summary'!H10="",'Monthly Summary'!H9=""),"",'Monthly Summary'!H10-'Monthly Summary'!H9)</f>
        <v/>
      </c>
      <c r="P11" s="24" t="str">
        <f aca="false">IF('Monthly Summary'!L10="","",'Monthly Summary'!L10)</f>
        <v/>
      </c>
      <c r="Q11" s="25" t="str">
        <f aca="false">IF(OR('Monthly Summary'!L10="",'Monthly Summary'!L9=""),"",'Monthly Summary'!L10-'Monthly Summary'!L9)</f>
        <v/>
      </c>
    </row>
    <row r="12" customFormat="false" ht="15" hidden="false" customHeight="false" outlineLevel="0" collapsed="false">
      <c r="A12" s="27" t="str">
        <f aca="false">'Monthly Summary'!A11</f>
        <v>Month 7</v>
      </c>
      <c r="B12" s="19" t="str">
        <f aca="false">IF('Monthly Summary'!B11="","",'Monthly Summary'!B11)</f>
        <v/>
      </c>
      <c r="C12" s="20" t="str">
        <f aca="false">IF(OR('Monthly Summary'!B11="",'Monthly Summary'!B10="",'Monthly Summary'!B10=0),"",('Monthly Summary'!B11-'Monthly Summary'!B10)/'Monthly Summary'!B10)</f>
        <v/>
      </c>
      <c r="D12" s="19" t="str">
        <f aca="false">IF('Monthly Summary'!C11="","",'Monthly Summary'!C11)</f>
        <v/>
      </c>
      <c r="E12" s="20" t="str">
        <f aca="false">IF(OR('Monthly Summary'!C11="",'Monthly Summary'!C10="",'Monthly Summary'!C10=0),"",('Monthly Summary'!C11-'Monthly Summary'!C10)/'Monthly Summary'!C10)</f>
        <v/>
      </c>
      <c r="F12" s="21" t="str">
        <f aca="false">IF('Monthly Summary'!D11="","",'Monthly Summary'!D11)</f>
        <v/>
      </c>
      <c r="G12" s="29" t="str">
        <f aca="false">IF(OR('Monthly Summary'!D11="",'Monthly Summary'!D10=""),"",'Monthly Summary'!D11-'Monthly Summary'!D10)</f>
        <v/>
      </c>
      <c r="H12" s="22" t="str">
        <f aca="false">IF('Monthly Summary'!E11="","",'Monthly Summary'!E11)</f>
        <v/>
      </c>
      <c r="I12" s="23" t="str">
        <f aca="false">IF(OR('Monthly Summary'!E11="",'Monthly Summary'!E10=""),"",'Monthly Summary'!E11-'Monthly Summary'!E10)</f>
        <v/>
      </c>
      <c r="J12" s="19" t="str">
        <f aca="false">IF('Monthly Summary'!F11="","",'Monthly Summary'!F11)</f>
        <v/>
      </c>
      <c r="K12" s="20" t="str">
        <f aca="false">IF(OR('Monthly Summary'!F11="",'Monthly Summary'!F10="",'Monthly Summary'!F10=0),"",('Monthly Summary'!F11-'Monthly Summary'!F10)/'Monthly Summary'!F10)</f>
        <v/>
      </c>
      <c r="L12" s="19" t="str">
        <f aca="false">IF('Monthly Summary'!G11="","",'Monthly Summary'!G11)</f>
        <v/>
      </c>
      <c r="M12" s="20" t="str">
        <f aca="false">IF(OR('Monthly Summary'!G11="",'Monthly Summary'!G10="",'Monthly Summary'!G10=0),"",('Monthly Summary'!G11-'Monthly Summary'!G10)/'Monthly Summary'!G10)</f>
        <v/>
      </c>
      <c r="N12" s="21" t="str">
        <f aca="false">IF('Monthly Summary'!H11="","",'Monthly Summary'!H11)</f>
        <v/>
      </c>
      <c r="O12" s="29" t="str">
        <f aca="false">IF(OR('Monthly Summary'!H11="",'Monthly Summary'!H10=""),"",'Monthly Summary'!H11-'Monthly Summary'!H10)</f>
        <v/>
      </c>
      <c r="P12" s="24" t="str">
        <f aca="false">IF('Monthly Summary'!L11="","",'Monthly Summary'!L11)</f>
        <v/>
      </c>
      <c r="Q12" s="25" t="str">
        <f aca="false">IF(OR('Monthly Summary'!L11="",'Monthly Summary'!L10=""),"",'Monthly Summary'!L11-'Monthly Summary'!L10)</f>
        <v/>
      </c>
    </row>
    <row r="13" customFormat="false" ht="15" hidden="false" customHeight="false" outlineLevel="0" collapsed="false">
      <c r="A13" s="27" t="str">
        <f aca="false">'Monthly Summary'!A12</f>
        <v>Month 8</v>
      </c>
      <c r="B13" s="19" t="str">
        <f aca="false">IF('Monthly Summary'!B12="","",'Monthly Summary'!B12)</f>
        <v/>
      </c>
      <c r="C13" s="20" t="str">
        <f aca="false">IF(OR('Monthly Summary'!B12="",'Monthly Summary'!B11="",'Monthly Summary'!B11=0),"",('Monthly Summary'!B12-'Monthly Summary'!B11)/'Monthly Summary'!B11)</f>
        <v/>
      </c>
      <c r="D13" s="19" t="str">
        <f aca="false">IF('Monthly Summary'!C12="","",'Monthly Summary'!C12)</f>
        <v/>
      </c>
      <c r="E13" s="20" t="str">
        <f aca="false">IF(OR('Monthly Summary'!C12="",'Monthly Summary'!C11="",'Monthly Summary'!C11=0),"",('Monthly Summary'!C12-'Monthly Summary'!C11)/'Monthly Summary'!C11)</f>
        <v/>
      </c>
      <c r="F13" s="21" t="str">
        <f aca="false">IF('Monthly Summary'!D12="","",'Monthly Summary'!D12)</f>
        <v/>
      </c>
      <c r="G13" s="29" t="str">
        <f aca="false">IF(OR('Monthly Summary'!D12="",'Monthly Summary'!D11=""),"",'Monthly Summary'!D12-'Monthly Summary'!D11)</f>
        <v/>
      </c>
      <c r="H13" s="22" t="str">
        <f aca="false">IF('Monthly Summary'!E12="","",'Monthly Summary'!E12)</f>
        <v/>
      </c>
      <c r="I13" s="23" t="str">
        <f aca="false">IF(OR('Monthly Summary'!E12="",'Monthly Summary'!E11=""),"",'Monthly Summary'!E12-'Monthly Summary'!E11)</f>
        <v/>
      </c>
      <c r="J13" s="19" t="str">
        <f aca="false">IF('Monthly Summary'!F12="","",'Monthly Summary'!F12)</f>
        <v/>
      </c>
      <c r="K13" s="20" t="str">
        <f aca="false">IF(OR('Monthly Summary'!F12="",'Monthly Summary'!F11="",'Monthly Summary'!F11=0),"",('Monthly Summary'!F12-'Monthly Summary'!F11)/'Monthly Summary'!F11)</f>
        <v/>
      </c>
      <c r="L13" s="19" t="str">
        <f aca="false">IF('Monthly Summary'!G12="","",'Monthly Summary'!G12)</f>
        <v/>
      </c>
      <c r="M13" s="20" t="str">
        <f aca="false">IF(OR('Monthly Summary'!G12="",'Monthly Summary'!G11="",'Monthly Summary'!G11=0),"",('Monthly Summary'!G12-'Monthly Summary'!G11)/'Monthly Summary'!G11)</f>
        <v/>
      </c>
      <c r="N13" s="21" t="str">
        <f aca="false">IF('Monthly Summary'!H12="","",'Monthly Summary'!H12)</f>
        <v/>
      </c>
      <c r="O13" s="29" t="str">
        <f aca="false">IF(OR('Monthly Summary'!H12="",'Monthly Summary'!H11=""),"",'Monthly Summary'!H12-'Monthly Summary'!H11)</f>
        <v/>
      </c>
      <c r="P13" s="24" t="str">
        <f aca="false">IF('Monthly Summary'!L12="","",'Monthly Summary'!L12)</f>
        <v/>
      </c>
      <c r="Q13" s="25" t="str">
        <f aca="false">IF(OR('Monthly Summary'!L12="",'Monthly Summary'!L11=""),"",'Monthly Summary'!L12-'Monthly Summary'!L11)</f>
        <v/>
      </c>
    </row>
    <row r="14" customFormat="false" ht="15" hidden="false" customHeight="false" outlineLevel="0" collapsed="false">
      <c r="A14" s="27" t="str">
        <f aca="false">'Monthly Summary'!A13</f>
        <v>Month 9</v>
      </c>
      <c r="B14" s="19" t="str">
        <f aca="false">IF('Monthly Summary'!B13="","",'Monthly Summary'!B13)</f>
        <v/>
      </c>
      <c r="C14" s="20" t="str">
        <f aca="false">IF(OR('Monthly Summary'!B13="",'Monthly Summary'!B12="",'Monthly Summary'!B12=0),"",('Monthly Summary'!B13-'Monthly Summary'!B12)/'Monthly Summary'!B12)</f>
        <v/>
      </c>
      <c r="D14" s="19" t="str">
        <f aca="false">IF('Monthly Summary'!C13="","",'Monthly Summary'!C13)</f>
        <v/>
      </c>
      <c r="E14" s="20" t="str">
        <f aca="false">IF(OR('Monthly Summary'!C13="",'Monthly Summary'!C12="",'Monthly Summary'!C12=0),"",('Monthly Summary'!C13-'Monthly Summary'!C12)/'Monthly Summary'!C12)</f>
        <v/>
      </c>
      <c r="F14" s="21" t="str">
        <f aca="false">IF('Monthly Summary'!D13="","",'Monthly Summary'!D13)</f>
        <v/>
      </c>
      <c r="G14" s="29" t="str">
        <f aca="false">IF(OR('Monthly Summary'!D13="",'Monthly Summary'!D12=""),"",'Monthly Summary'!D13-'Monthly Summary'!D12)</f>
        <v/>
      </c>
      <c r="H14" s="22" t="str">
        <f aca="false">IF('Monthly Summary'!E13="","",'Monthly Summary'!E13)</f>
        <v/>
      </c>
      <c r="I14" s="23" t="str">
        <f aca="false">IF(OR('Monthly Summary'!E13="",'Monthly Summary'!E12=""),"",'Monthly Summary'!E13-'Monthly Summary'!E12)</f>
        <v/>
      </c>
      <c r="J14" s="19" t="str">
        <f aca="false">IF('Monthly Summary'!F13="","",'Monthly Summary'!F13)</f>
        <v/>
      </c>
      <c r="K14" s="20" t="str">
        <f aca="false">IF(OR('Monthly Summary'!F13="",'Monthly Summary'!F12="",'Monthly Summary'!F12=0),"",('Monthly Summary'!F13-'Monthly Summary'!F12)/'Monthly Summary'!F12)</f>
        <v/>
      </c>
      <c r="L14" s="19" t="str">
        <f aca="false">IF('Monthly Summary'!G13="","",'Monthly Summary'!G13)</f>
        <v/>
      </c>
      <c r="M14" s="20" t="str">
        <f aca="false">IF(OR('Monthly Summary'!G13="",'Monthly Summary'!G12="",'Monthly Summary'!G12=0),"",('Monthly Summary'!G13-'Monthly Summary'!G12)/'Monthly Summary'!G12)</f>
        <v/>
      </c>
      <c r="N14" s="21" t="str">
        <f aca="false">IF('Monthly Summary'!H13="","",'Monthly Summary'!H13)</f>
        <v/>
      </c>
      <c r="O14" s="29" t="str">
        <f aca="false">IF(OR('Monthly Summary'!H13="",'Monthly Summary'!H12=""),"",'Monthly Summary'!H13-'Monthly Summary'!H12)</f>
        <v/>
      </c>
      <c r="P14" s="24" t="str">
        <f aca="false">IF('Monthly Summary'!L13="","",'Monthly Summary'!L13)</f>
        <v/>
      </c>
      <c r="Q14" s="25" t="str">
        <f aca="false">IF(OR('Monthly Summary'!L13="",'Monthly Summary'!L12=""),"",'Monthly Summary'!L13-'Monthly Summary'!L12)</f>
        <v/>
      </c>
    </row>
    <row r="15" customFormat="false" ht="15" hidden="false" customHeight="false" outlineLevel="0" collapsed="false">
      <c r="A15" s="27" t="str">
        <f aca="false">'Monthly Summary'!A14</f>
        <v>Month 10</v>
      </c>
      <c r="B15" s="19" t="str">
        <f aca="false">IF('Monthly Summary'!B14="","",'Monthly Summary'!B14)</f>
        <v/>
      </c>
      <c r="C15" s="20" t="str">
        <f aca="false">IF(OR('Monthly Summary'!B14="",'Monthly Summary'!B13="",'Monthly Summary'!B13=0),"",('Monthly Summary'!B14-'Monthly Summary'!B13)/'Monthly Summary'!B13)</f>
        <v/>
      </c>
      <c r="D15" s="19" t="str">
        <f aca="false">IF('Monthly Summary'!C14="","",'Monthly Summary'!C14)</f>
        <v/>
      </c>
      <c r="E15" s="20" t="str">
        <f aca="false">IF(OR('Monthly Summary'!C14="",'Monthly Summary'!C13="",'Monthly Summary'!C13=0),"",('Monthly Summary'!C14-'Monthly Summary'!C13)/'Monthly Summary'!C13)</f>
        <v/>
      </c>
      <c r="F15" s="21" t="str">
        <f aca="false">IF('Monthly Summary'!D14="","",'Monthly Summary'!D14)</f>
        <v/>
      </c>
      <c r="G15" s="29" t="str">
        <f aca="false">IF(OR('Monthly Summary'!D14="",'Monthly Summary'!D13=""),"",'Monthly Summary'!D14-'Monthly Summary'!D13)</f>
        <v/>
      </c>
      <c r="H15" s="22" t="str">
        <f aca="false">IF('Monthly Summary'!E14="","",'Monthly Summary'!E14)</f>
        <v/>
      </c>
      <c r="I15" s="23" t="str">
        <f aca="false">IF(OR('Monthly Summary'!E14="",'Monthly Summary'!E13=""),"",'Monthly Summary'!E14-'Monthly Summary'!E13)</f>
        <v/>
      </c>
      <c r="J15" s="19" t="str">
        <f aca="false">IF('Monthly Summary'!F14="","",'Monthly Summary'!F14)</f>
        <v/>
      </c>
      <c r="K15" s="20" t="str">
        <f aca="false">IF(OR('Monthly Summary'!F14="",'Monthly Summary'!F13="",'Monthly Summary'!F13=0),"",('Monthly Summary'!F14-'Monthly Summary'!F13)/'Monthly Summary'!F13)</f>
        <v/>
      </c>
      <c r="L15" s="19" t="str">
        <f aca="false">IF('Monthly Summary'!G14="","",'Monthly Summary'!G14)</f>
        <v/>
      </c>
      <c r="M15" s="20" t="str">
        <f aca="false">IF(OR('Monthly Summary'!G14="",'Monthly Summary'!G13="",'Monthly Summary'!G13=0),"",('Monthly Summary'!G14-'Monthly Summary'!G13)/'Monthly Summary'!G13)</f>
        <v/>
      </c>
      <c r="N15" s="21" t="str">
        <f aca="false">IF('Monthly Summary'!H14="","",'Monthly Summary'!H14)</f>
        <v/>
      </c>
      <c r="O15" s="29" t="str">
        <f aca="false">IF(OR('Monthly Summary'!H14="",'Monthly Summary'!H13=""),"",'Monthly Summary'!H14-'Monthly Summary'!H13)</f>
        <v/>
      </c>
      <c r="P15" s="24" t="str">
        <f aca="false">IF('Monthly Summary'!L14="","",'Monthly Summary'!L14)</f>
        <v/>
      </c>
      <c r="Q15" s="25" t="str">
        <f aca="false">IF(OR('Monthly Summary'!L14="",'Monthly Summary'!L13=""),"",'Monthly Summary'!L14-'Monthly Summary'!L13)</f>
        <v/>
      </c>
    </row>
    <row r="16" customFormat="false" ht="15" hidden="false" customHeight="false" outlineLevel="0" collapsed="false">
      <c r="A16" s="27" t="str">
        <f aca="false">'Monthly Summary'!A15</f>
        <v>Month 11</v>
      </c>
      <c r="B16" s="19" t="str">
        <f aca="false">IF('Monthly Summary'!B15="","",'Monthly Summary'!B15)</f>
        <v/>
      </c>
      <c r="C16" s="20" t="str">
        <f aca="false">IF(OR('Monthly Summary'!B15="",'Monthly Summary'!B14="",'Monthly Summary'!B14=0),"",('Monthly Summary'!B15-'Monthly Summary'!B14)/'Monthly Summary'!B14)</f>
        <v/>
      </c>
      <c r="D16" s="19" t="str">
        <f aca="false">IF('Monthly Summary'!C15="","",'Monthly Summary'!C15)</f>
        <v/>
      </c>
      <c r="E16" s="20" t="str">
        <f aca="false">IF(OR('Monthly Summary'!C15="",'Monthly Summary'!C14="",'Monthly Summary'!C14=0),"",('Monthly Summary'!C15-'Monthly Summary'!C14)/'Monthly Summary'!C14)</f>
        <v/>
      </c>
      <c r="F16" s="21" t="str">
        <f aca="false">IF('Monthly Summary'!D15="","",'Monthly Summary'!D15)</f>
        <v/>
      </c>
      <c r="G16" s="29" t="str">
        <f aca="false">IF(OR('Monthly Summary'!D15="",'Monthly Summary'!D14=""),"",'Monthly Summary'!D15-'Monthly Summary'!D14)</f>
        <v/>
      </c>
      <c r="H16" s="22" t="str">
        <f aca="false">IF('Monthly Summary'!E15="","",'Monthly Summary'!E15)</f>
        <v/>
      </c>
      <c r="I16" s="23" t="str">
        <f aca="false">IF(OR('Monthly Summary'!E15="",'Monthly Summary'!E14=""),"",'Monthly Summary'!E15-'Monthly Summary'!E14)</f>
        <v/>
      </c>
      <c r="J16" s="19" t="str">
        <f aca="false">IF('Monthly Summary'!F15="","",'Monthly Summary'!F15)</f>
        <v/>
      </c>
      <c r="K16" s="20" t="str">
        <f aca="false">IF(OR('Monthly Summary'!F15="",'Monthly Summary'!F14="",'Monthly Summary'!F14=0),"",('Monthly Summary'!F15-'Monthly Summary'!F14)/'Monthly Summary'!F14)</f>
        <v/>
      </c>
      <c r="L16" s="19" t="str">
        <f aca="false">IF('Monthly Summary'!G15="","",'Monthly Summary'!G15)</f>
        <v/>
      </c>
      <c r="M16" s="20" t="str">
        <f aca="false">IF(OR('Monthly Summary'!G15="",'Monthly Summary'!G14="",'Monthly Summary'!G14=0),"",('Monthly Summary'!G15-'Monthly Summary'!G14)/'Monthly Summary'!G14)</f>
        <v/>
      </c>
      <c r="N16" s="21" t="str">
        <f aca="false">IF('Monthly Summary'!H15="","",'Monthly Summary'!H15)</f>
        <v/>
      </c>
      <c r="O16" s="29" t="str">
        <f aca="false">IF(OR('Monthly Summary'!H15="",'Monthly Summary'!H14=""),"",'Monthly Summary'!H15-'Monthly Summary'!H14)</f>
        <v/>
      </c>
      <c r="P16" s="24" t="str">
        <f aca="false">IF('Monthly Summary'!L15="","",'Monthly Summary'!L15)</f>
        <v/>
      </c>
      <c r="Q16" s="25" t="str">
        <f aca="false">IF(OR('Monthly Summary'!L15="",'Monthly Summary'!L14=""),"",'Monthly Summary'!L15-'Monthly Summary'!L14)</f>
        <v/>
      </c>
    </row>
    <row r="17" customFormat="false" ht="15" hidden="false" customHeight="false" outlineLevel="0" collapsed="false">
      <c r="A17" s="27" t="str">
        <f aca="false">'Monthly Summary'!A16</f>
        <v>Month 12</v>
      </c>
      <c r="B17" s="19" t="str">
        <f aca="false">IF('Monthly Summary'!B16="","",'Monthly Summary'!B16)</f>
        <v/>
      </c>
      <c r="C17" s="20" t="str">
        <f aca="false">IF(OR('Monthly Summary'!B16="",'Monthly Summary'!B15="",'Monthly Summary'!B15=0),"",('Monthly Summary'!B16-'Monthly Summary'!B15)/'Monthly Summary'!B15)</f>
        <v/>
      </c>
      <c r="D17" s="19" t="str">
        <f aca="false">IF('Monthly Summary'!C16="","",'Monthly Summary'!C16)</f>
        <v/>
      </c>
      <c r="E17" s="20" t="str">
        <f aca="false">IF(OR('Monthly Summary'!C16="",'Monthly Summary'!C15="",'Monthly Summary'!C15=0),"",('Monthly Summary'!C16-'Monthly Summary'!C15)/'Monthly Summary'!C15)</f>
        <v/>
      </c>
      <c r="F17" s="21" t="str">
        <f aca="false">IF('Monthly Summary'!D16="","",'Monthly Summary'!D16)</f>
        <v/>
      </c>
      <c r="G17" s="29" t="str">
        <f aca="false">IF(OR('Monthly Summary'!D16="",'Monthly Summary'!D15=""),"",'Monthly Summary'!D16-'Monthly Summary'!D15)</f>
        <v/>
      </c>
      <c r="H17" s="22" t="str">
        <f aca="false">IF('Monthly Summary'!E16="","",'Monthly Summary'!E16)</f>
        <v/>
      </c>
      <c r="I17" s="23" t="str">
        <f aca="false">IF(OR('Monthly Summary'!E16="",'Monthly Summary'!E15=""),"",'Monthly Summary'!E16-'Monthly Summary'!E15)</f>
        <v/>
      </c>
      <c r="J17" s="19" t="str">
        <f aca="false">IF('Monthly Summary'!F16="","",'Monthly Summary'!F16)</f>
        <v/>
      </c>
      <c r="K17" s="20" t="str">
        <f aca="false">IF(OR('Monthly Summary'!F16="",'Monthly Summary'!F15="",'Monthly Summary'!F15=0),"",('Monthly Summary'!F16-'Monthly Summary'!F15)/'Monthly Summary'!F15)</f>
        <v/>
      </c>
      <c r="L17" s="19" t="str">
        <f aca="false">IF('Monthly Summary'!G16="","",'Monthly Summary'!G16)</f>
        <v/>
      </c>
      <c r="M17" s="20" t="str">
        <f aca="false">IF(OR('Monthly Summary'!G16="",'Monthly Summary'!G15="",'Monthly Summary'!G15=0),"",('Monthly Summary'!G16-'Monthly Summary'!G15)/'Monthly Summary'!G15)</f>
        <v/>
      </c>
      <c r="N17" s="21" t="str">
        <f aca="false">IF('Monthly Summary'!H16="","",'Monthly Summary'!H16)</f>
        <v/>
      </c>
      <c r="O17" s="29" t="str">
        <f aca="false">IF(OR('Monthly Summary'!H16="",'Monthly Summary'!H15=""),"",'Monthly Summary'!H16-'Monthly Summary'!H15)</f>
        <v/>
      </c>
      <c r="P17" s="24" t="str">
        <f aca="false">IF('Monthly Summary'!L16="","",'Monthly Summary'!L16)</f>
        <v/>
      </c>
      <c r="Q17" s="25" t="str">
        <f aca="false">IF(OR('Monthly Summary'!L16="",'Monthly Summary'!L15=""),"",'Monthly Summary'!L16-'Monthly Summary'!L15)</f>
        <v/>
      </c>
    </row>
    <row r="18" customFormat="false" ht="15" hidden="false" customHeight="false" outlineLevel="0" collapsed="false">
      <c r="A18" s="27" t="str">
        <f aca="false">'Monthly Summary'!A17</f>
        <v>Month 13</v>
      </c>
      <c r="B18" s="19" t="str">
        <f aca="false">IF('Monthly Summary'!B17="","",'Monthly Summary'!B17)</f>
        <v/>
      </c>
      <c r="C18" s="20" t="str">
        <f aca="false">IF(OR('Monthly Summary'!B17="",'Monthly Summary'!B16="",'Monthly Summary'!B16=0),"",('Monthly Summary'!B17-'Monthly Summary'!B16)/'Monthly Summary'!B16)</f>
        <v/>
      </c>
      <c r="D18" s="19" t="str">
        <f aca="false">IF('Monthly Summary'!C17="","",'Monthly Summary'!C17)</f>
        <v/>
      </c>
      <c r="E18" s="20" t="str">
        <f aca="false">IF(OR('Monthly Summary'!C17="",'Monthly Summary'!C16="",'Monthly Summary'!C16=0),"",('Monthly Summary'!C17-'Monthly Summary'!C16)/'Monthly Summary'!C16)</f>
        <v/>
      </c>
      <c r="F18" s="21" t="str">
        <f aca="false">IF('Monthly Summary'!D17="","",'Monthly Summary'!D17)</f>
        <v/>
      </c>
      <c r="G18" s="29" t="str">
        <f aca="false">IF(OR('Monthly Summary'!D17="",'Monthly Summary'!D16=""),"",'Monthly Summary'!D17-'Monthly Summary'!D16)</f>
        <v/>
      </c>
      <c r="H18" s="22" t="str">
        <f aca="false">IF('Monthly Summary'!E17="","",'Monthly Summary'!E17)</f>
        <v/>
      </c>
      <c r="I18" s="23" t="str">
        <f aca="false">IF(OR('Monthly Summary'!E17="",'Monthly Summary'!E16=""),"",'Monthly Summary'!E17-'Monthly Summary'!E16)</f>
        <v/>
      </c>
      <c r="J18" s="19" t="str">
        <f aca="false">IF('Monthly Summary'!F17="","",'Monthly Summary'!F17)</f>
        <v/>
      </c>
      <c r="K18" s="20" t="str">
        <f aca="false">IF(OR('Monthly Summary'!F17="",'Monthly Summary'!F16="",'Monthly Summary'!F16=0),"",('Monthly Summary'!F17-'Monthly Summary'!F16)/'Monthly Summary'!F16)</f>
        <v/>
      </c>
      <c r="L18" s="19" t="str">
        <f aca="false">IF('Monthly Summary'!G17="","",'Monthly Summary'!G17)</f>
        <v/>
      </c>
      <c r="M18" s="20" t="str">
        <f aca="false">IF(OR('Monthly Summary'!G17="",'Monthly Summary'!G16="",'Monthly Summary'!G16=0),"",('Monthly Summary'!G17-'Monthly Summary'!G16)/'Monthly Summary'!G16)</f>
        <v/>
      </c>
      <c r="N18" s="21" t="str">
        <f aca="false">IF('Monthly Summary'!H17="","",'Monthly Summary'!H17)</f>
        <v/>
      </c>
      <c r="O18" s="29" t="str">
        <f aca="false">IF(OR('Monthly Summary'!H17="",'Monthly Summary'!H16=""),"",'Monthly Summary'!H17-'Monthly Summary'!H16)</f>
        <v/>
      </c>
      <c r="P18" s="24" t="str">
        <f aca="false">IF('Monthly Summary'!L17="","",'Monthly Summary'!L17)</f>
        <v/>
      </c>
      <c r="Q18" s="25" t="str">
        <f aca="false">IF(OR('Monthly Summary'!L17="",'Monthly Summary'!L16=""),"",'Monthly Summary'!L17-'Monthly Summary'!L16)</f>
        <v/>
      </c>
    </row>
    <row r="19" customFormat="false" ht="15" hidden="false" customHeight="false" outlineLevel="0" collapsed="false">
      <c r="A19" s="27" t="str">
        <f aca="false">'Monthly Summary'!A18</f>
        <v>Month 14</v>
      </c>
      <c r="B19" s="19" t="str">
        <f aca="false">IF('Monthly Summary'!B18="","",'Monthly Summary'!B18)</f>
        <v/>
      </c>
      <c r="C19" s="20" t="str">
        <f aca="false">IF(OR('Monthly Summary'!B18="",'Monthly Summary'!B17="",'Monthly Summary'!B17=0),"",('Monthly Summary'!B18-'Monthly Summary'!B17)/'Monthly Summary'!B17)</f>
        <v/>
      </c>
      <c r="D19" s="19" t="str">
        <f aca="false">IF('Monthly Summary'!C18="","",'Monthly Summary'!C18)</f>
        <v/>
      </c>
      <c r="E19" s="20" t="str">
        <f aca="false">IF(OR('Monthly Summary'!C18="",'Monthly Summary'!C17="",'Monthly Summary'!C17=0),"",('Monthly Summary'!C18-'Monthly Summary'!C17)/'Monthly Summary'!C17)</f>
        <v/>
      </c>
      <c r="F19" s="21" t="str">
        <f aca="false">IF('Monthly Summary'!D18="","",'Monthly Summary'!D18)</f>
        <v/>
      </c>
      <c r="G19" s="29" t="str">
        <f aca="false">IF(OR('Monthly Summary'!D18="",'Monthly Summary'!D17=""),"",'Monthly Summary'!D18-'Monthly Summary'!D17)</f>
        <v/>
      </c>
      <c r="H19" s="22" t="str">
        <f aca="false">IF('Monthly Summary'!E18="","",'Monthly Summary'!E18)</f>
        <v/>
      </c>
      <c r="I19" s="23" t="str">
        <f aca="false">IF(OR('Monthly Summary'!E18="",'Monthly Summary'!E17=""),"",'Monthly Summary'!E18-'Monthly Summary'!E17)</f>
        <v/>
      </c>
      <c r="J19" s="19" t="str">
        <f aca="false">IF('Monthly Summary'!F18="","",'Monthly Summary'!F18)</f>
        <v/>
      </c>
      <c r="K19" s="20" t="str">
        <f aca="false">IF(OR('Monthly Summary'!F18="",'Monthly Summary'!F17="",'Monthly Summary'!F17=0),"",('Monthly Summary'!F18-'Monthly Summary'!F17)/'Monthly Summary'!F17)</f>
        <v/>
      </c>
      <c r="L19" s="19" t="str">
        <f aca="false">IF('Monthly Summary'!G18="","",'Monthly Summary'!G18)</f>
        <v/>
      </c>
      <c r="M19" s="20" t="str">
        <f aca="false">IF(OR('Monthly Summary'!G18="",'Monthly Summary'!G17="",'Monthly Summary'!G17=0),"",('Monthly Summary'!G18-'Monthly Summary'!G17)/'Monthly Summary'!G17)</f>
        <v/>
      </c>
      <c r="N19" s="21" t="str">
        <f aca="false">IF('Monthly Summary'!H18="","",'Monthly Summary'!H18)</f>
        <v/>
      </c>
      <c r="O19" s="29" t="str">
        <f aca="false">IF(OR('Monthly Summary'!H18="",'Monthly Summary'!H17=""),"",'Monthly Summary'!H18-'Monthly Summary'!H17)</f>
        <v/>
      </c>
      <c r="P19" s="24" t="str">
        <f aca="false">IF('Monthly Summary'!L18="","",'Monthly Summary'!L18)</f>
        <v/>
      </c>
      <c r="Q19" s="25" t="str">
        <f aca="false">IF(OR('Monthly Summary'!L18="",'Monthly Summary'!L17=""),"",'Monthly Summary'!L18-'Monthly Summary'!L17)</f>
        <v/>
      </c>
    </row>
    <row r="20" customFormat="false" ht="15" hidden="false" customHeight="false" outlineLevel="0" collapsed="false">
      <c r="A20" s="27" t="str">
        <f aca="false">'Monthly Summary'!A19</f>
        <v>Month 15</v>
      </c>
      <c r="B20" s="19" t="str">
        <f aca="false">IF('Monthly Summary'!B19="","",'Monthly Summary'!B19)</f>
        <v/>
      </c>
      <c r="C20" s="20" t="str">
        <f aca="false">IF(OR('Monthly Summary'!B19="",'Monthly Summary'!B18="",'Monthly Summary'!B18=0),"",('Monthly Summary'!B19-'Monthly Summary'!B18)/'Monthly Summary'!B18)</f>
        <v/>
      </c>
      <c r="D20" s="19" t="str">
        <f aca="false">IF('Monthly Summary'!C19="","",'Monthly Summary'!C19)</f>
        <v/>
      </c>
      <c r="E20" s="20" t="str">
        <f aca="false">IF(OR('Monthly Summary'!C19="",'Monthly Summary'!C18="",'Monthly Summary'!C18=0),"",('Monthly Summary'!C19-'Monthly Summary'!C18)/'Monthly Summary'!C18)</f>
        <v/>
      </c>
      <c r="F20" s="21" t="str">
        <f aca="false">IF('Monthly Summary'!D19="","",'Monthly Summary'!D19)</f>
        <v/>
      </c>
      <c r="G20" s="29" t="str">
        <f aca="false">IF(OR('Monthly Summary'!D19="",'Monthly Summary'!D18=""),"",'Monthly Summary'!D19-'Monthly Summary'!D18)</f>
        <v/>
      </c>
      <c r="H20" s="22" t="str">
        <f aca="false">IF('Monthly Summary'!E19="","",'Monthly Summary'!E19)</f>
        <v/>
      </c>
      <c r="I20" s="23" t="str">
        <f aca="false">IF(OR('Monthly Summary'!E19="",'Monthly Summary'!E18=""),"",'Monthly Summary'!E19-'Monthly Summary'!E18)</f>
        <v/>
      </c>
      <c r="J20" s="19" t="str">
        <f aca="false">IF('Monthly Summary'!F19="","",'Monthly Summary'!F19)</f>
        <v/>
      </c>
      <c r="K20" s="20" t="str">
        <f aca="false">IF(OR('Monthly Summary'!F19="",'Monthly Summary'!F18="",'Monthly Summary'!F18=0),"",('Monthly Summary'!F19-'Monthly Summary'!F18)/'Monthly Summary'!F18)</f>
        <v/>
      </c>
      <c r="L20" s="19" t="str">
        <f aca="false">IF('Monthly Summary'!G19="","",'Monthly Summary'!G19)</f>
        <v/>
      </c>
      <c r="M20" s="20" t="str">
        <f aca="false">IF(OR('Monthly Summary'!G19="",'Monthly Summary'!G18="",'Monthly Summary'!G18=0),"",('Monthly Summary'!G19-'Monthly Summary'!G18)/'Monthly Summary'!G18)</f>
        <v/>
      </c>
      <c r="N20" s="21" t="str">
        <f aca="false">IF('Monthly Summary'!H19="","",'Monthly Summary'!H19)</f>
        <v/>
      </c>
      <c r="O20" s="29" t="str">
        <f aca="false">IF(OR('Monthly Summary'!H19="",'Monthly Summary'!H18=""),"",'Monthly Summary'!H19-'Monthly Summary'!H18)</f>
        <v/>
      </c>
      <c r="P20" s="24" t="str">
        <f aca="false">IF('Monthly Summary'!L19="","",'Monthly Summary'!L19)</f>
        <v/>
      </c>
      <c r="Q20" s="25" t="str">
        <f aca="false">IF(OR('Monthly Summary'!L19="",'Monthly Summary'!L18=""),"",'Monthly Summary'!L19-'Monthly Summary'!L18)</f>
        <v/>
      </c>
    </row>
    <row r="21" customFormat="false" ht="15" hidden="false" customHeight="false" outlineLevel="0" collapsed="false">
      <c r="A21" s="27" t="str">
        <f aca="false">'Monthly Summary'!A20</f>
        <v>Month 16</v>
      </c>
      <c r="B21" s="19" t="str">
        <f aca="false">IF('Monthly Summary'!B20="","",'Monthly Summary'!B20)</f>
        <v/>
      </c>
      <c r="C21" s="20" t="str">
        <f aca="false">IF(OR('Monthly Summary'!B20="",'Monthly Summary'!B19="",'Monthly Summary'!B19=0),"",('Monthly Summary'!B20-'Monthly Summary'!B19)/'Monthly Summary'!B19)</f>
        <v/>
      </c>
      <c r="D21" s="19" t="str">
        <f aca="false">IF('Monthly Summary'!C20="","",'Monthly Summary'!C20)</f>
        <v/>
      </c>
      <c r="E21" s="20" t="str">
        <f aca="false">IF(OR('Monthly Summary'!C20="",'Monthly Summary'!C19="",'Monthly Summary'!C19=0),"",('Monthly Summary'!C20-'Monthly Summary'!C19)/'Monthly Summary'!C19)</f>
        <v/>
      </c>
      <c r="F21" s="21" t="str">
        <f aca="false">IF('Monthly Summary'!D20="","",'Monthly Summary'!D20)</f>
        <v/>
      </c>
      <c r="G21" s="29" t="str">
        <f aca="false">IF(OR('Monthly Summary'!D20="",'Monthly Summary'!D19=""),"",'Monthly Summary'!D20-'Monthly Summary'!D19)</f>
        <v/>
      </c>
      <c r="H21" s="22" t="str">
        <f aca="false">IF('Monthly Summary'!E20="","",'Monthly Summary'!E20)</f>
        <v/>
      </c>
      <c r="I21" s="23" t="str">
        <f aca="false">IF(OR('Monthly Summary'!E20="",'Monthly Summary'!E19=""),"",'Monthly Summary'!E20-'Monthly Summary'!E19)</f>
        <v/>
      </c>
      <c r="J21" s="19" t="str">
        <f aca="false">IF('Monthly Summary'!F20="","",'Monthly Summary'!F20)</f>
        <v/>
      </c>
      <c r="K21" s="20" t="str">
        <f aca="false">IF(OR('Monthly Summary'!F20="",'Monthly Summary'!F19="",'Monthly Summary'!F19=0),"",('Monthly Summary'!F20-'Monthly Summary'!F19)/'Monthly Summary'!F19)</f>
        <v/>
      </c>
      <c r="L21" s="19" t="str">
        <f aca="false">IF('Monthly Summary'!G20="","",'Monthly Summary'!G20)</f>
        <v/>
      </c>
      <c r="M21" s="20" t="str">
        <f aca="false">IF(OR('Monthly Summary'!G20="",'Monthly Summary'!G19="",'Monthly Summary'!G19=0),"",('Monthly Summary'!G20-'Monthly Summary'!G19)/'Monthly Summary'!G19)</f>
        <v/>
      </c>
      <c r="N21" s="21" t="str">
        <f aca="false">IF('Monthly Summary'!H20="","",'Monthly Summary'!H20)</f>
        <v/>
      </c>
      <c r="O21" s="29" t="str">
        <f aca="false">IF(OR('Monthly Summary'!H20="",'Monthly Summary'!H19=""),"",'Monthly Summary'!H20-'Monthly Summary'!H19)</f>
        <v/>
      </c>
      <c r="P21" s="24" t="str">
        <f aca="false">IF('Monthly Summary'!L20="","",'Monthly Summary'!L20)</f>
        <v/>
      </c>
      <c r="Q21" s="25" t="str">
        <f aca="false">IF(OR('Monthly Summary'!L20="",'Monthly Summary'!L19=""),"",'Monthly Summary'!L20-'Monthly Summary'!L19)</f>
        <v/>
      </c>
    </row>
    <row r="22" customFormat="false" ht="15" hidden="false" customHeight="false" outlineLevel="0" collapsed="false">
      <c r="A22" s="27" t="str">
        <f aca="false">'Monthly Summary'!A21</f>
        <v>Month 17</v>
      </c>
      <c r="B22" s="19" t="str">
        <f aca="false">IF('Monthly Summary'!B21="","",'Monthly Summary'!B21)</f>
        <v/>
      </c>
      <c r="C22" s="20" t="str">
        <f aca="false">IF(OR('Monthly Summary'!B21="",'Monthly Summary'!B20="",'Monthly Summary'!B20=0),"",('Monthly Summary'!B21-'Monthly Summary'!B20)/'Monthly Summary'!B20)</f>
        <v/>
      </c>
      <c r="D22" s="19" t="str">
        <f aca="false">IF('Monthly Summary'!C21="","",'Monthly Summary'!C21)</f>
        <v/>
      </c>
      <c r="E22" s="20" t="str">
        <f aca="false">IF(OR('Monthly Summary'!C21="",'Monthly Summary'!C20="",'Monthly Summary'!C20=0),"",('Monthly Summary'!C21-'Monthly Summary'!C20)/'Monthly Summary'!C20)</f>
        <v/>
      </c>
      <c r="F22" s="21" t="str">
        <f aca="false">IF('Monthly Summary'!D21="","",'Monthly Summary'!D21)</f>
        <v/>
      </c>
      <c r="G22" s="29" t="str">
        <f aca="false">IF(OR('Monthly Summary'!D21="",'Monthly Summary'!D20=""),"",'Monthly Summary'!D21-'Monthly Summary'!D20)</f>
        <v/>
      </c>
      <c r="H22" s="22" t="str">
        <f aca="false">IF('Monthly Summary'!E21="","",'Monthly Summary'!E21)</f>
        <v/>
      </c>
      <c r="I22" s="23" t="str">
        <f aca="false">IF(OR('Monthly Summary'!E21="",'Monthly Summary'!E20=""),"",'Monthly Summary'!E21-'Monthly Summary'!E20)</f>
        <v/>
      </c>
      <c r="J22" s="19" t="str">
        <f aca="false">IF('Monthly Summary'!F21="","",'Monthly Summary'!F21)</f>
        <v/>
      </c>
      <c r="K22" s="20" t="str">
        <f aca="false">IF(OR('Monthly Summary'!F21="",'Monthly Summary'!F20="",'Monthly Summary'!F20=0),"",('Monthly Summary'!F21-'Monthly Summary'!F20)/'Monthly Summary'!F20)</f>
        <v/>
      </c>
      <c r="L22" s="19" t="str">
        <f aca="false">IF('Monthly Summary'!G21="","",'Monthly Summary'!G21)</f>
        <v/>
      </c>
      <c r="M22" s="20" t="str">
        <f aca="false">IF(OR('Monthly Summary'!G21="",'Monthly Summary'!G20="",'Monthly Summary'!G20=0),"",('Monthly Summary'!G21-'Monthly Summary'!G20)/'Monthly Summary'!G20)</f>
        <v/>
      </c>
      <c r="N22" s="21" t="str">
        <f aca="false">IF('Monthly Summary'!H21="","",'Monthly Summary'!H21)</f>
        <v/>
      </c>
      <c r="O22" s="29" t="str">
        <f aca="false">IF(OR('Monthly Summary'!H21="",'Monthly Summary'!H20=""),"",'Monthly Summary'!H21-'Monthly Summary'!H20)</f>
        <v/>
      </c>
      <c r="P22" s="24" t="str">
        <f aca="false">IF('Monthly Summary'!L21="","",'Monthly Summary'!L21)</f>
        <v/>
      </c>
      <c r="Q22" s="25" t="str">
        <f aca="false">IF(OR('Monthly Summary'!L21="",'Monthly Summary'!L20=""),"",'Monthly Summary'!L21-'Monthly Summary'!L20)</f>
        <v/>
      </c>
    </row>
    <row r="23" customFormat="false" ht="15" hidden="false" customHeight="false" outlineLevel="0" collapsed="false">
      <c r="A23" s="27" t="str">
        <f aca="false">'Monthly Summary'!A22</f>
        <v>Month 18</v>
      </c>
      <c r="B23" s="19" t="str">
        <f aca="false">IF('Monthly Summary'!B22="","",'Monthly Summary'!B22)</f>
        <v/>
      </c>
      <c r="C23" s="20" t="str">
        <f aca="false">IF(OR('Monthly Summary'!B22="",'Monthly Summary'!B21="",'Monthly Summary'!B21=0),"",('Monthly Summary'!B22-'Monthly Summary'!B21)/'Monthly Summary'!B21)</f>
        <v/>
      </c>
      <c r="D23" s="19" t="str">
        <f aca="false">IF('Monthly Summary'!C22="","",'Monthly Summary'!C22)</f>
        <v/>
      </c>
      <c r="E23" s="20" t="str">
        <f aca="false">IF(OR('Monthly Summary'!C22="",'Monthly Summary'!C21="",'Monthly Summary'!C21=0),"",('Monthly Summary'!C22-'Monthly Summary'!C21)/'Monthly Summary'!C21)</f>
        <v/>
      </c>
      <c r="F23" s="21" t="str">
        <f aca="false">IF('Monthly Summary'!D22="","",'Monthly Summary'!D22)</f>
        <v/>
      </c>
      <c r="G23" s="29" t="str">
        <f aca="false">IF(OR('Monthly Summary'!D22="",'Monthly Summary'!D21=""),"",'Monthly Summary'!D22-'Monthly Summary'!D21)</f>
        <v/>
      </c>
      <c r="H23" s="22" t="str">
        <f aca="false">IF('Monthly Summary'!E22="","",'Monthly Summary'!E22)</f>
        <v/>
      </c>
      <c r="I23" s="23" t="str">
        <f aca="false">IF(OR('Monthly Summary'!E22="",'Monthly Summary'!E21=""),"",'Monthly Summary'!E22-'Monthly Summary'!E21)</f>
        <v/>
      </c>
      <c r="J23" s="19" t="str">
        <f aca="false">IF('Monthly Summary'!F22="","",'Monthly Summary'!F22)</f>
        <v/>
      </c>
      <c r="K23" s="20" t="str">
        <f aca="false">IF(OR('Monthly Summary'!F22="",'Monthly Summary'!F21="",'Monthly Summary'!F21=0),"",('Monthly Summary'!F22-'Monthly Summary'!F21)/'Monthly Summary'!F21)</f>
        <v/>
      </c>
      <c r="L23" s="19" t="str">
        <f aca="false">IF('Monthly Summary'!G22="","",'Monthly Summary'!G22)</f>
        <v/>
      </c>
      <c r="M23" s="20" t="str">
        <f aca="false">IF(OR('Monthly Summary'!G22="",'Monthly Summary'!G21="",'Monthly Summary'!G21=0),"",('Monthly Summary'!G22-'Monthly Summary'!G21)/'Monthly Summary'!G21)</f>
        <v/>
      </c>
      <c r="N23" s="21" t="str">
        <f aca="false">IF('Monthly Summary'!H22="","",'Monthly Summary'!H22)</f>
        <v/>
      </c>
      <c r="O23" s="29" t="str">
        <f aca="false">IF(OR('Monthly Summary'!H22="",'Monthly Summary'!H21=""),"",'Monthly Summary'!H22-'Monthly Summary'!H21)</f>
        <v/>
      </c>
      <c r="P23" s="24" t="str">
        <f aca="false">IF('Monthly Summary'!L22="","",'Monthly Summary'!L22)</f>
        <v/>
      </c>
      <c r="Q23" s="25" t="str">
        <f aca="false">IF(OR('Monthly Summary'!L22="",'Monthly Summary'!L21=""),"",'Monthly Summary'!L22-'Monthly Summary'!L21)</f>
        <v/>
      </c>
    </row>
    <row r="24" customFormat="false" ht="15" hidden="false" customHeight="false" outlineLevel="0" collapsed="false">
      <c r="A24" s="27" t="str">
        <f aca="false">'Monthly Summary'!A23</f>
        <v>Month 19</v>
      </c>
      <c r="B24" s="19" t="str">
        <f aca="false">IF('Monthly Summary'!B23="","",'Monthly Summary'!B23)</f>
        <v/>
      </c>
      <c r="C24" s="20" t="str">
        <f aca="false">IF(OR('Monthly Summary'!B23="",'Monthly Summary'!B22="",'Monthly Summary'!B22=0),"",('Monthly Summary'!B23-'Monthly Summary'!B22)/'Monthly Summary'!B22)</f>
        <v/>
      </c>
      <c r="D24" s="19" t="str">
        <f aca="false">IF('Monthly Summary'!C23="","",'Monthly Summary'!C23)</f>
        <v/>
      </c>
      <c r="E24" s="20" t="str">
        <f aca="false">IF(OR('Monthly Summary'!C23="",'Monthly Summary'!C22="",'Monthly Summary'!C22=0),"",('Monthly Summary'!C23-'Monthly Summary'!C22)/'Monthly Summary'!C22)</f>
        <v/>
      </c>
      <c r="F24" s="21" t="str">
        <f aca="false">IF('Monthly Summary'!D23="","",'Monthly Summary'!D23)</f>
        <v/>
      </c>
      <c r="G24" s="29" t="str">
        <f aca="false">IF(OR('Monthly Summary'!D23="",'Monthly Summary'!D22=""),"",'Monthly Summary'!D23-'Monthly Summary'!D22)</f>
        <v/>
      </c>
      <c r="H24" s="22" t="str">
        <f aca="false">IF('Monthly Summary'!E23="","",'Monthly Summary'!E23)</f>
        <v/>
      </c>
      <c r="I24" s="23" t="str">
        <f aca="false">IF(OR('Monthly Summary'!E23="",'Monthly Summary'!E22=""),"",'Monthly Summary'!E23-'Monthly Summary'!E22)</f>
        <v/>
      </c>
      <c r="J24" s="19" t="str">
        <f aca="false">IF('Monthly Summary'!F23="","",'Monthly Summary'!F23)</f>
        <v/>
      </c>
      <c r="K24" s="20" t="str">
        <f aca="false">IF(OR('Monthly Summary'!F23="",'Monthly Summary'!F22="",'Monthly Summary'!F22=0),"",('Monthly Summary'!F23-'Monthly Summary'!F22)/'Monthly Summary'!F22)</f>
        <v/>
      </c>
      <c r="L24" s="19" t="str">
        <f aca="false">IF('Monthly Summary'!G23="","",'Monthly Summary'!G23)</f>
        <v/>
      </c>
      <c r="M24" s="20" t="str">
        <f aca="false">IF(OR('Monthly Summary'!G23="",'Monthly Summary'!G22="",'Monthly Summary'!G22=0),"",('Monthly Summary'!G23-'Monthly Summary'!G22)/'Monthly Summary'!G22)</f>
        <v/>
      </c>
      <c r="N24" s="21" t="str">
        <f aca="false">IF('Monthly Summary'!H23="","",'Monthly Summary'!H23)</f>
        <v/>
      </c>
      <c r="O24" s="29" t="str">
        <f aca="false">IF(OR('Monthly Summary'!H23="",'Monthly Summary'!H22=""),"",'Monthly Summary'!H23-'Monthly Summary'!H22)</f>
        <v/>
      </c>
      <c r="P24" s="24" t="str">
        <f aca="false">IF('Monthly Summary'!L23="","",'Monthly Summary'!L23)</f>
        <v/>
      </c>
      <c r="Q24" s="25" t="str">
        <f aca="false">IF(OR('Monthly Summary'!L23="",'Monthly Summary'!L22=""),"",'Monthly Summary'!L23-'Monthly Summary'!L22)</f>
        <v/>
      </c>
    </row>
    <row r="25" customFormat="false" ht="15" hidden="false" customHeight="false" outlineLevel="0" collapsed="false">
      <c r="A25" s="27" t="str">
        <f aca="false">'Monthly Summary'!A24</f>
        <v>Month 20</v>
      </c>
      <c r="B25" s="19" t="str">
        <f aca="false">IF('Monthly Summary'!B24="","",'Monthly Summary'!B24)</f>
        <v/>
      </c>
      <c r="C25" s="20" t="str">
        <f aca="false">IF(OR('Monthly Summary'!B24="",'Monthly Summary'!B23="",'Monthly Summary'!B23=0),"",('Monthly Summary'!B24-'Monthly Summary'!B23)/'Monthly Summary'!B23)</f>
        <v/>
      </c>
      <c r="D25" s="19" t="str">
        <f aca="false">IF('Monthly Summary'!C24="","",'Monthly Summary'!C24)</f>
        <v/>
      </c>
      <c r="E25" s="20" t="str">
        <f aca="false">IF(OR('Monthly Summary'!C24="",'Monthly Summary'!C23="",'Monthly Summary'!C23=0),"",('Monthly Summary'!C24-'Monthly Summary'!C23)/'Monthly Summary'!C23)</f>
        <v/>
      </c>
      <c r="F25" s="21" t="str">
        <f aca="false">IF('Monthly Summary'!D24="","",'Monthly Summary'!D24)</f>
        <v/>
      </c>
      <c r="G25" s="29" t="str">
        <f aca="false">IF(OR('Monthly Summary'!D24="",'Monthly Summary'!D23=""),"",'Monthly Summary'!D24-'Monthly Summary'!D23)</f>
        <v/>
      </c>
      <c r="H25" s="22" t="str">
        <f aca="false">IF('Monthly Summary'!E24="","",'Monthly Summary'!E24)</f>
        <v/>
      </c>
      <c r="I25" s="23" t="str">
        <f aca="false">IF(OR('Monthly Summary'!E24="",'Monthly Summary'!E23=""),"",'Monthly Summary'!E24-'Monthly Summary'!E23)</f>
        <v/>
      </c>
      <c r="J25" s="19" t="str">
        <f aca="false">IF('Monthly Summary'!F24="","",'Monthly Summary'!F24)</f>
        <v/>
      </c>
      <c r="K25" s="20" t="str">
        <f aca="false">IF(OR('Monthly Summary'!F24="",'Monthly Summary'!F23="",'Monthly Summary'!F23=0),"",('Monthly Summary'!F24-'Monthly Summary'!F23)/'Monthly Summary'!F23)</f>
        <v/>
      </c>
      <c r="L25" s="19" t="str">
        <f aca="false">IF('Monthly Summary'!G24="","",'Monthly Summary'!G24)</f>
        <v/>
      </c>
      <c r="M25" s="20" t="str">
        <f aca="false">IF(OR('Monthly Summary'!G24="",'Monthly Summary'!G23="",'Monthly Summary'!G23=0),"",('Monthly Summary'!G24-'Monthly Summary'!G23)/'Monthly Summary'!G23)</f>
        <v/>
      </c>
      <c r="N25" s="21" t="str">
        <f aca="false">IF('Monthly Summary'!H24="","",'Monthly Summary'!H24)</f>
        <v/>
      </c>
      <c r="O25" s="29" t="str">
        <f aca="false">IF(OR('Monthly Summary'!H24="",'Monthly Summary'!H23=""),"",'Monthly Summary'!H24-'Monthly Summary'!H23)</f>
        <v/>
      </c>
      <c r="P25" s="24" t="str">
        <f aca="false">IF('Monthly Summary'!L24="","",'Monthly Summary'!L24)</f>
        <v/>
      </c>
      <c r="Q25" s="25" t="str">
        <f aca="false">IF(OR('Monthly Summary'!L24="",'Monthly Summary'!L23=""),"",'Monthly Summary'!L24-'Monthly Summary'!L23)</f>
        <v/>
      </c>
    </row>
    <row r="26" customFormat="false" ht="15" hidden="false" customHeight="false" outlineLevel="0" collapsed="false">
      <c r="A26" s="27" t="str">
        <f aca="false">'Monthly Summary'!A25</f>
        <v>Month 21</v>
      </c>
      <c r="B26" s="19" t="str">
        <f aca="false">IF('Monthly Summary'!B25="","",'Monthly Summary'!B25)</f>
        <v/>
      </c>
      <c r="C26" s="20" t="str">
        <f aca="false">IF(OR('Monthly Summary'!B25="",'Monthly Summary'!B24="",'Monthly Summary'!B24=0),"",('Monthly Summary'!B25-'Monthly Summary'!B24)/'Monthly Summary'!B24)</f>
        <v/>
      </c>
      <c r="D26" s="19" t="str">
        <f aca="false">IF('Monthly Summary'!C25="","",'Monthly Summary'!C25)</f>
        <v/>
      </c>
      <c r="E26" s="20" t="str">
        <f aca="false">IF(OR('Monthly Summary'!C25="",'Monthly Summary'!C24="",'Monthly Summary'!C24=0),"",('Monthly Summary'!C25-'Monthly Summary'!C24)/'Monthly Summary'!C24)</f>
        <v/>
      </c>
      <c r="F26" s="21" t="str">
        <f aca="false">IF('Monthly Summary'!D25="","",'Monthly Summary'!D25)</f>
        <v/>
      </c>
      <c r="G26" s="29" t="str">
        <f aca="false">IF(OR('Monthly Summary'!D25="",'Monthly Summary'!D24=""),"",'Monthly Summary'!D25-'Monthly Summary'!D24)</f>
        <v/>
      </c>
      <c r="H26" s="22" t="str">
        <f aca="false">IF('Monthly Summary'!E25="","",'Monthly Summary'!E25)</f>
        <v/>
      </c>
      <c r="I26" s="23" t="str">
        <f aca="false">IF(OR('Monthly Summary'!E25="",'Monthly Summary'!E24=""),"",'Monthly Summary'!E25-'Monthly Summary'!E24)</f>
        <v/>
      </c>
      <c r="J26" s="19" t="str">
        <f aca="false">IF('Monthly Summary'!F25="","",'Monthly Summary'!F25)</f>
        <v/>
      </c>
      <c r="K26" s="20" t="str">
        <f aca="false">IF(OR('Monthly Summary'!F25="",'Monthly Summary'!F24="",'Monthly Summary'!F24=0),"",('Monthly Summary'!F25-'Monthly Summary'!F24)/'Monthly Summary'!F24)</f>
        <v/>
      </c>
      <c r="L26" s="19" t="str">
        <f aca="false">IF('Monthly Summary'!G25="","",'Monthly Summary'!G25)</f>
        <v/>
      </c>
      <c r="M26" s="20" t="str">
        <f aca="false">IF(OR('Monthly Summary'!G25="",'Monthly Summary'!G24="",'Monthly Summary'!G24=0),"",('Monthly Summary'!G25-'Monthly Summary'!G24)/'Monthly Summary'!G24)</f>
        <v/>
      </c>
      <c r="N26" s="21" t="str">
        <f aca="false">IF('Monthly Summary'!H25="","",'Monthly Summary'!H25)</f>
        <v/>
      </c>
      <c r="O26" s="29" t="str">
        <f aca="false">IF(OR('Monthly Summary'!H25="",'Monthly Summary'!H24=""),"",'Monthly Summary'!H25-'Monthly Summary'!H24)</f>
        <v/>
      </c>
      <c r="P26" s="24" t="str">
        <f aca="false">IF('Monthly Summary'!L25="","",'Monthly Summary'!L25)</f>
        <v/>
      </c>
      <c r="Q26" s="25" t="str">
        <f aca="false">IF(OR('Monthly Summary'!L25="",'Monthly Summary'!L24=""),"",'Monthly Summary'!L25-'Monthly Summary'!L24)</f>
        <v/>
      </c>
    </row>
    <row r="27" customFormat="false" ht="15" hidden="false" customHeight="false" outlineLevel="0" collapsed="false">
      <c r="A27" s="27" t="str">
        <f aca="false">'Monthly Summary'!A26</f>
        <v>Month 22</v>
      </c>
      <c r="B27" s="19" t="str">
        <f aca="false">IF('Monthly Summary'!B26="","",'Monthly Summary'!B26)</f>
        <v/>
      </c>
      <c r="C27" s="20" t="str">
        <f aca="false">IF(OR('Monthly Summary'!B26="",'Monthly Summary'!B25="",'Monthly Summary'!B25=0),"",('Monthly Summary'!B26-'Monthly Summary'!B25)/'Monthly Summary'!B25)</f>
        <v/>
      </c>
      <c r="D27" s="19" t="str">
        <f aca="false">IF('Monthly Summary'!C26="","",'Monthly Summary'!C26)</f>
        <v/>
      </c>
      <c r="E27" s="20" t="str">
        <f aca="false">IF(OR('Monthly Summary'!C26="",'Monthly Summary'!C25="",'Monthly Summary'!C25=0),"",('Monthly Summary'!C26-'Monthly Summary'!C25)/'Monthly Summary'!C25)</f>
        <v/>
      </c>
      <c r="F27" s="21" t="str">
        <f aca="false">IF('Monthly Summary'!D26="","",'Monthly Summary'!D26)</f>
        <v/>
      </c>
      <c r="G27" s="29" t="str">
        <f aca="false">IF(OR('Monthly Summary'!D26="",'Monthly Summary'!D25=""),"",'Monthly Summary'!D26-'Monthly Summary'!D25)</f>
        <v/>
      </c>
      <c r="H27" s="22" t="str">
        <f aca="false">IF('Monthly Summary'!E26="","",'Monthly Summary'!E26)</f>
        <v/>
      </c>
      <c r="I27" s="23" t="str">
        <f aca="false">IF(OR('Monthly Summary'!E26="",'Monthly Summary'!E25=""),"",'Monthly Summary'!E26-'Monthly Summary'!E25)</f>
        <v/>
      </c>
      <c r="J27" s="19" t="str">
        <f aca="false">IF('Monthly Summary'!F26="","",'Monthly Summary'!F26)</f>
        <v/>
      </c>
      <c r="K27" s="20" t="str">
        <f aca="false">IF(OR('Monthly Summary'!F26="",'Monthly Summary'!F25="",'Monthly Summary'!F25=0),"",('Monthly Summary'!F26-'Monthly Summary'!F25)/'Monthly Summary'!F25)</f>
        <v/>
      </c>
      <c r="L27" s="19" t="str">
        <f aca="false">IF('Monthly Summary'!G26="","",'Monthly Summary'!G26)</f>
        <v/>
      </c>
      <c r="M27" s="20" t="str">
        <f aca="false">IF(OR('Monthly Summary'!G26="",'Monthly Summary'!G25="",'Monthly Summary'!G25=0),"",('Monthly Summary'!G26-'Monthly Summary'!G25)/'Monthly Summary'!G25)</f>
        <v/>
      </c>
      <c r="N27" s="21" t="str">
        <f aca="false">IF('Monthly Summary'!H26="","",'Monthly Summary'!H26)</f>
        <v/>
      </c>
      <c r="O27" s="29" t="str">
        <f aca="false">IF(OR('Monthly Summary'!H26="",'Monthly Summary'!H25=""),"",'Monthly Summary'!H26-'Monthly Summary'!H25)</f>
        <v/>
      </c>
      <c r="P27" s="24" t="str">
        <f aca="false">IF('Monthly Summary'!L26="","",'Monthly Summary'!L26)</f>
        <v/>
      </c>
      <c r="Q27" s="25" t="str">
        <f aca="false">IF(OR('Monthly Summary'!L26="",'Monthly Summary'!L25=""),"",'Monthly Summary'!L26-'Monthly Summary'!L25)</f>
        <v/>
      </c>
    </row>
    <row r="28" customFormat="false" ht="15" hidden="false" customHeight="false" outlineLevel="0" collapsed="false">
      <c r="A28" s="27" t="str">
        <f aca="false">'Monthly Summary'!A27</f>
        <v>Month 23</v>
      </c>
      <c r="B28" s="19" t="str">
        <f aca="false">IF('Monthly Summary'!B27="","",'Monthly Summary'!B27)</f>
        <v/>
      </c>
      <c r="C28" s="20" t="str">
        <f aca="false">IF(OR('Monthly Summary'!B27="",'Monthly Summary'!B26="",'Monthly Summary'!B26=0),"",('Monthly Summary'!B27-'Monthly Summary'!B26)/'Monthly Summary'!B26)</f>
        <v/>
      </c>
      <c r="D28" s="19" t="str">
        <f aca="false">IF('Monthly Summary'!C27="","",'Monthly Summary'!C27)</f>
        <v/>
      </c>
      <c r="E28" s="20" t="str">
        <f aca="false">IF(OR('Monthly Summary'!C27="",'Monthly Summary'!C26="",'Monthly Summary'!C26=0),"",('Monthly Summary'!C27-'Monthly Summary'!C26)/'Monthly Summary'!C26)</f>
        <v/>
      </c>
      <c r="F28" s="21" t="str">
        <f aca="false">IF('Monthly Summary'!D27="","",'Monthly Summary'!D27)</f>
        <v/>
      </c>
      <c r="G28" s="29" t="str">
        <f aca="false">IF(OR('Monthly Summary'!D27="",'Monthly Summary'!D26=""),"",'Monthly Summary'!D27-'Monthly Summary'!D26)</f>
        <v/>
      </c>
      <c r="H28" s="22" t="str">
        <f aca="false">IF('Monthly Summary'!E27="","",'Monthly Summary'!E27)</f>
        <v/>
      </c>
      <c r="I28" s="23" t="str">
        <f aca="false">IF(OR('Monthly Summary'!E27="",'Monthly Summary'!E26=""),"",'Monthly Summary'!E27-'Monthly Summary'!E26)</f>
        <v/>
      </c>
      <c r="J28" s="19" t="str">
        <f aca="false">IF('Monthly Summary'!F27="","",'Monthly Summary'!F27)</f>
        <v/>
      </c>
      <c r="K28" s="20" t="str">
        <f aca="false">IF(OR('Monthly Summary'!F27="",'Monthly Summary'!F26="",'Monthly Summary'!F26=0),"",('Monthly Summary'!F27-'Monthly Summary'!F26)/'Monthly Summary'!F26)</f>
        <v/>
      </c>
      <c r="L28" s="19" t="str">
        <f aca="false">IF('Monthly Summary'!G27="","",'Monthly Summary'!G27)</f>
        <v/>
      </c>
      <c r="M28" s="20" t="str">
        <f aca="false">IF(OR('Monthly Summary'!G27="",'Monthly Summary'!G26="",'Monthly Summary'!G26=0),"",('Monthly Summary'!G27-'Monthly Summary'!G26)/'Monthly Summary'!G26)</f>
        <v/>
      </c>
      <c r="N28" s="21" t="str">
        <f aca="false">IF('Monthly Summary'!H27="","",'Monthly Summary'!H27)</f>
        <v/>
      </c>
      <c r="O28" s="29" t="str">
        <f aca="false">IF(OR('Monthly Summary'!H27="",'Monthly Summary'!H26=""),"",'Monthly Summary'!H27-'Monthly Summary'!H26)</f>
        <v/>
      </c>
      <c r="P28" s="24" t="str">
        <f aca="false">IF('Monthly Summary'!L27="","",'Monthly Summary'!L27)</f>
        <v/>
      </c>
      <c r="Q28" s="25" t="str">
        <f aca="false">IF(OR('Monthly Summary'!L27="",'Monthly Summary'!L26=""),"",'Monthly Summary'!L27-'Monthly Summary'!L26)</f>
        <v/>
      </c>
    </row>
    <row r="29" customFormat="false" ht="15" hidden="false" customHeight="false" outlineLevel="0" collapsed="false">
      <c r="A29" s="27" t="str">
        <f aca="false">'Monthly Summary'!A28</f>
        <v>Month 24</v>
      </c>
      <c r="B29" s="19" t="str">
        <f aca="false">IF('Monthly Summary'!B28="","",'Monthly Summary'!B28)</f>
        <v/>
      </c>
      <c r="C29" s="20" t="str">
        <f aca="false">IF(OR('Monthly Summary'!B28="",'Monthly Summary'!B27="",'Monthly Summary'!B27=0),"",('Monthly Summary'!B28-'Monthly Summary'!B27)/'Monthly Summary'!B27)</f>
        <v/>
      </c>
      <c r="D29" s="19" t="str">
        <f aca="false">IF('Monthly Summary'!C28="","",'Monthly Summary'!C28)</f>
        <v/>
      </c>
      <c r="E29" s="20" t="str">
        <f aca="false">IF(OR('Monthly Summary'!C28="",'Monthly Summary'!C27="",'Monthly Summary'!C27=0),"",('Monthly Summary'!C28-'Monthly Summary'!C27)/'Monthly Summary'!C27)</f>
        <v/>
      </c>
      <c r="F29" s="21" t="str">
        <f aca="false">IF('Monthly Summary'!D28="","",'Monthly Summary'!D28)</f>
        <v/>
      </c>
      <c r="G29" s="29" t="str">
        <f aca="false">IF(OR('Monthly Summary'!D28="",'Monthly Summary'!D27=""),"",'Monthly Summary'!D28-'Monthly Summary'!D27)</f>
        <v/>
      </c>
      <c r="H29" s="22" t="str">
        <f aca="false">IF('Monthly Summary'!E28="","",'Monthly Summary'!E28)</f>
        <v/>
      </c>
      <c r="I29" s="23" t="str">
        <f aca="false">IF(OR('Monthly Summary'!E28="",'Monthly Summary'!E27=""),"",'Monthly Summary'!E28-'Monthly Summary'!E27)</f>
        <v/>
      </c>
      <c r="J29" s="19" t="str">
        <f aca="false">IF('Monthly Summary'!F28="","",'Monthly Summary'!F28)</f>
        <v/>
      </c>
      <c r="K29" s="20" t="str">
        <f aca="false">IF(OR('Monthly Summary'!F28="",'Monthly Summary'!F27="",'Monthly Summary'!F27=0),"",('Monthly Summary'!F28-'Monthly Summary'!F27)/'Monthly Summary'!F27)</f>
        <v/>
      </c>
      <c r="L29" s="19" t="str">
        <f aca="false">IF('Monthly Summary'!G28="","",'Monthly Summary'!G28)</f>
        <v/>
      </c>
      <c r="M29" s="20" t="str">
        <f aca="false">IF(OR('Monthly Summary'!G28="",'Monthly Summary'!G27="",'Monthly Summary'!G27=0),"",('Monthly Summary'!G28-'Monthly Summary'!G27)/'Monthly Summary'!G27)</f>
        <v/>
      </c>
      <c r="N29" s="21" t="str">
        <f aca="false">IF('Monthly Summary'!H28="","",'Monthly Summary'!H28)</f>
        <v/>
      </c>
      <c r="O29" s="29" t="str">
        <f aca="false">IF(OR('Monthly Summary'!H28="",'Monthly Summary'!H27=""),"",'Monthly Summary'!H28-'Monthly Summary'!H27)</f>
        <v/>
      </c>
      <c r="P29" s="24" t="str">
        <f aca="false">IF('Monthly Summary'!L28="","",'Monthly Summary'!L28)</f>
        <v/>
      </c>
      <c r="Q29" s="25" t="str">
        <f aca="false">IF(OR('Monthly Summary'!L28="",'Monthly Summary'!L27=""),"",'Monthly Summary'!L28-'Monthly Summary'!L27)</f>
        <v/>
      </c>
    </row>
    <row r="31" customFormat="false" ht="15" hidden="false" customHeight="true" outlineLevel="0" collapsed="false">
      <c r="A31" s="30" t="s">
        <v>91</v>
      </c>
      <c r="B31" s="30"/>
      <c r="C31" s="30"/>
      <c r="D31" s="30"/>
      <c r="E31" s="30"/>
      <c r="F31" s="30"/>
      <c r="G31" s="30"/>
      <c r="H31" s="30"/>
      <c r="I31" s="30"/>
      <c r="J31" s="30"/>
      <c r="K31" s="30"/>
      <c r="L31" s="30"/>
      <c r="M31" s="30"/>
      <c r="N31" s="30"/>
      <c r="O31" s="30"/>
      <c r="P31" s="30"/>
      <c r="Q31" s="30"/>
    </row>
  </sheetData>
  <mergeCells count="12">
    <mergeCell ref="A1:Q1"/>
    <mergeCell ref="A2:Q2"/>
    <mergeCell ref="A4:A5"/>
    <mergeCell ref="B4:C4"/>
    <mergeCell ref="D4:E4"/>
    <mergeCell ref="F4:G4"/>
    <mergeCell ref="H4:I4"/>
    <mergeCell ref="J4:K4"/>
    <mergeCell ref="L4:M4"/>
    <mergeCell ref="N4:O4"/>
    <mergeCell ref="P4:Q4"/>
    <mergeCell ref="A31:Q31"/>
  </mergeCells>
  <conditionalFormatting sqref="C6:C29">
    <cfRule type="cellIs" priority="2" operator="greaterThan" aboveAverage="0" equalAverage="0" bottom="0" percent="0" rank="0" text="" dxfId="6">
      <formula>0</formula>
    </cfRule>
    <cfRule type="cellIs" priority="3" operator="lessThan" aboveAverage="0" equalAverage="0" bottom="0" percent="0" rank="0" text="" dxfId="7">
      <formula>0</formula>
    </cfRule>
  </conditionalFormatting>
  <conditionalFormatting sqref="E6:E29">
    <cfRule type="cellIs" priority="4" operator="greaterThan" aboveAverage="0" equalAverage="0" bottom="0" percent="0" rank="0" text="" dxfId="6">
      <formula>0</formula>
    </cfRule>
    <cfRule type="cellIs" priority="5" operator="lessThan" aboveAverage="0" equalAverage="0" bottom="0" percent="0" rank="0" text="" dxfId="7">
      <formula>0</formula>
    </cfRule>
  </conditionalFormatting>
  <conditionalFormatting sqref="G6:G29">
    <cfRule type="cellIs" priority="6" operator="greaterThan" aboveAverage="0" equalAverage="0" bottom="0" percent="0" rank="0" text="" dxfId="6">
      <formula>0</formula>
    </cfRule>
    <cfRule type="cellIs" priority="7" operator="lessThan" aboveAverage="0" equalAverage="0" bottom="0" percent="0" rank="0" text="" dxfId="7">
      <formula>0</formula>
    </cfRule>
  </conditionalFormatting>
  <conditionalFormatting sqref="I6:I29">
    <cfRule type="cellIs" priority="8" operator="greaterThan" aboveAverage="0" equalAverage="0" bottom="0" percent="0" rank="0" text="" dxfId="6">
      <formula>0</formula>
    </cfRule>
    <cfRule type="cellIs" priority="9" operator="lessThan" aboveAverage="0" equalAverage="0" bottom="0" percent="0" rank="0" text="" dxfId="7">
      <formula>0</formula>
    </cfRule>
  </conditionalFormatting>
  <conditionalFormatting sqref="K6:K29">
    <cfRule type="cellIs" priority="10" operator="greaterThan" aboveAverage="0" equalAverage="0" bottom="0" percent="0" rank="0" text="" dxfId="6">
      <formula>0</formula>
    </cfRule>
    <cfRule type="cellIs" priority="11" operator="lessThan" aboveAverage="0" equalAverage="0" bottom="0" percent="0" rank="0" text="" dxfId="7">
      <formula>0</formula>
    </cfRule>
  </conditionalFormatting>
  <conditionalFormatting sqref="M6:M29">
    <cfRule type="cellIs" priority="12" operator="greaterThan" aboveAverage="0" equalAverage="0" bottom="0" percent="0" rank="0" text="" dxfId="6">
      <formula>0</formula>
    </cfRule>
    <cfRule type="cellIs" priority="13" operator="lessThan" aboveAverage="0" equalAverage="0" bottom="0" percent="0" rank="0" text="" dxfId="7">
      <formula>0</formula>
    </cfRule>
  </conditionalFormatting>
  <conditionalFormatting sqref="O6:O29">
    <cfRule type="cellIs" priority="14" operator="greaterThan" aboveAverage="0" equalAverage="0" bottom="0" percent="0" rank="0" text="" dxfId="6">
      <formula>0</formula>
    </cfRule>
    <cfRule type="cellIs" priority="15" operator="lessThan" aboveAverage="0" equalAverage="0" bottom="0" percent="0" rank="0" text="" dxfId="7">
      <formula>0</formula>
    </cfRule>
  </conditionalFormatting>
  <conditionalFormatting sqref="Q6:Q29">
    <cfRule type="cellIs" priority="16" operator="greaterThan" aboveAverage="0" equalAverage="0" bottom="0" percent="0" rank="0" text="" dxfId="6">
      <formula>0</formula>
    </cfRule>
    <cfRule type="cellIs" priority="17" operator="lessThan" aboveAverage="0" equalAverage="0" bottom="0" percent="0" rank="0" text="" dxfId="7">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
    <col collapsed="false" customWidth="true" hidden="false" outlineLevel="0" max="3" min="3" style="0" width="13"/>
    <col collapsed="false" customWidth="true" hidden="false" outlineLevel="0" max="4" min="4" style="0" width="8"/>
    <col collapsed="false" customWidth="true" hidden="false" outlineLevel="0" max="5" min="5" style="0" width="11"/>
    <col collapsed="false" customWidth="true" hidden="false" outlineLevel="0" max="6" min="6" style="0" width="13"/>
    <col collapsed="false" customWidth="true" hidden="false" outlineLevel="0" max="7" min="7" style="0" width="8"/>
    <col collapsed="false" customWidth="true" hidden="false" outlineLevel="0" max="8" min="8" style="0" width="10"/>
  </cols>
  <sheetData>
    <row r="1" customFormat="false" ht="30" hidden="false" customHeight="true" outlineLevel="0" collapsed="false">
      <c r="A1" s="1" t="s">
        <v>92</v>
      </c>
      <c r="B1" s="1"/>
      <c r="C1" s="1"/>
      <c r="D1" s="1"/>
      <c r="E1" s="1"/>
      <c r="F1" s="1"/>
      <c r="G1" s="1"/>
      <c r="H1" s="1"/>
    </row>
    <row r="2" customFormat="false" ht="18" hidden="false" customHeight="true" outlineLevel="0" collapsed="false">
      <c r="A2" s="2" t="s">
        <v>93</v>
      </c>
      <c r="B2" s="2"/>
      <c r="C2" s="2"/>
      <c r="D2" s="2"/>
      <c r="E2" s="2"/>
      <c r="F2" s="2"/>
      <c r="G2" s="2"/>
      <c r="H2" s="2"/>
    </row>
    <row r="4" customFormat="false" ht="27.75" hidden="false" customHeight="true" outlineLevel="0" collapsed="false">
      <c r="A4" s="8" t="s">
        <v>94</v>
      </c>
      <c r="B4" s="8" t="s">
        <v>42</v>
      </c>
      <c r="C4" s="8" t="s">
        <v>43</v>
      </c>
      <c r="D4" s="8" t="s">
        <v>44</v>
      </c>
      <c r="E4" s="8" t="s">
        <v>45</v>
      </c>
      <c r="F4" s="8" t="s">
        <v>46</v>
      </c>
      <c r="G4" s="8" t="s">
        <v>95</v>
      </c>
      <c r="H4" s="8" t="s">
        <v>48</v>
      </c>
    </row>
    <row r="5" customFormat="false" ht="15" hidden="false" customHeight="false" outlineLevel="0" collapsed="false">
      <c r="A5" s="31" t="s">
        <v>96</v>
      </c>
      <c r="B5" s="10" t="n">
        <v>1800</v>
      </c>
      <c r="C5" s="10" t="n">
        <v>52000</v>
      </c>
      <c r="D5" s="11" t="n">
        <f aca="false">IF(OR(C5="",C5=0),"",B5/C5)</f>
        <v>0.0346153846153846</v>
      </c>
      <c r="E5" s="12" t="n">
        <v>9</v>
      </c>
      <c r="F5" s="10" t="n">
        <v>2100</v>
      </c>
      <c r="G5" s="10" t="n">
        <v>12</v>
      </c>
      <c r="H5" s="11" t="n">
        <f aca="false">IF(OR(F5="",F5=0),"",G5/F5)</f>
        <v>0.00571428571428571</v>
      </c>
    </row>
    <row r="6" customFormat="false" ht="15" hidden="false" customHeight="false" outlineLevel="0" collapsed="false">
      <c r="A6" s="31" t="s">
        <v>97</v>
      </c>
      <c r="B6" s="10" t="n">
        <v>900</v>
      </c>
      <c r="C6" s="10" t="n">
        <v>38000</v>
      </c>
      <c r="D6" s="11" t="n">
        <f aca="false">IF(OR(C6="",C6=0),"",B6/C6)</f>
        <v>0.0236842105263158</v>
      </c>
      <c r="E6" s="12" t="n">
        <v>7.5</v>
      </c>
      <c r="F6" s="10" t="n">
        <v>1050</v>
      </c>
      <c r="G6" s="10" t="n">
        <v>9</v>
      </c>
      <c r="H6" s="11" t="n">
        <f aca="false">IF(OR(F6="",F6=0),"",G6/F6)</f>
        <v>0.00857142857142857</v>
      </c>
    </row>
    <row r="7" customFormat="false" ht="15" hidden="false" customHeight="false" outlineLevel="0" collapsed="false">
      <c r="A7" s="31" t="s">
        <v>98</v>
      </c>
      <c r="B7" s="10" t="n">
        <v>760</v>
      </c>
      <c r="C7" s="10" t="n">
        <v>41000</v>
      </c>
      <c r="D7" s="11" t="n">
        <f aca="false">IF(OR(C7="",C7=0),"",B7/C7)</f>
        <v>0.0185365853658537</v>
      </c>
      <c r="E7" s="12" t="n">
        <v>12</v>
      </c>
      <c r="F7" s="10" t="n">
        <v>820</v>
      </c>
      <c r="G7" s="10" t="n">
        <v>2</v>
      </c>
      <c r="H7" s="11" t="n">
        <f aca="false">IF(OR(F7="",F7=0),"",G7/F7)</f>
        <v>0.0024390243902439</v>
      </c>
    </row>
    <row r="8" customFormat="false" ht="15" hidden="false" customHeight="false" outlineLevel="0" collapsed="false">
      <c r="A8" s="31" t="s">
        <v>99</v>
      </c>
      <c r="B8" s="10" t="n">
        <v>420</v>
      </c>
      <c r="C8" s="10" t="n">
        <v>9000</v>
      </c>
      <c r="D8" s="11" t="n">
        <f aca="false">IF(OR(C8="",C8=0),"",B8/C8)</f>
        <v>0.0466666666666667</v>
      </c>
      <c r="E8" s="12" t="n">
        <v>5.5</v>
      </c>
      <c r="F8" s="10" t="n">
        <v>500</v>
      </c>
      <c r="G8" s="10" t="n">
        <v>14</v>
      </c>
      <c r="H8" s="11" t="n">
        <f aca="false">IF(OR(F8="",F8=0),"",G8/F8)</f>
        <v>0.028</v>
      </c>
    </row>
    <row r="9" customFormat="false" ht="15" hidden="false" customHeight="false" outlineLevel="0" collapsed="false">
      <c r="A9" s="31" t="s">
        <v>100</v>
      </c>
      <c r="B9" s="10" t="n">
        <v>380</v>
      </c>
      <c r="C9" s="10" t="n">
        <v>22000</v>
      </c>
      <c r="D9" s="11" t="n">
        <f aca="false">IF(OR(C9="",C9=0),"",B9/C9)</f>
        <v>0.0172727272727273</v>
      </c>
      <c r="E9" s="12" t="n">
        <v>9.8</v>
      </c>
      <c r="F9" s="10" t="n">
        <v>440</v>
      </c>
      <c r="G9" s="10" t="n">
        <v>5</v>
      </c>
      <c r="H9" s="11" t="n">
        <f aca="false">IF(OR(F9="",F9=0),"",G9/F9)</f>
        <v>0.0113636363636364</v>
      </c>
    </row>
    <row r="11" customFormat="false" ht="45.75" hidden="false" customHeight="true" outlineLevel="0" collapsed="false">
      <c r="A11" s="14" t="s">
        <v>101</v>
      </c>
      <c r="B11" s="14"/>
      <c r="C11" s="14"/>
      <c r="D11" s="14"/>
      <c r="E11" s="14"/>
      <c r="F11" s="14"/>
      <c r="G11" s="14"/>
      <c r="H11" s="14"/>
    </row>
    <row r="12" customFormat="false" ht="15" hidden="false" customHeight="false" outlineLevel="0" collapsed="false">
      <c r="A12" s="14"/>
      <c r="B12" s="14"/>
      <c r="C12" s="14"/>
      <c r="D12" s="14"/>
      <c r="E12" s="14"/>
      <c r="F12" s="14"/>
      <c r="G12" s="14"/>
      <c r="H12" s="14"/>
    </row>
    <row r="13" customFormat="false" ht="15" hidden="false" customHeight="false" outlineLevel="0" collapsed="false">
      <c r="A13" s="14"/>
      <c r="B13" s="14"/>
      <c r="C13" s="14"/>
      <c r="D13" s="14"/>
      <c r="E13" s="14"/>
      <c r="F13" s="14"/>
      <c r="G13" s="14"/>
      <c r="H13" s="14"/>
    </row>
  </sheetData>
  <autoFilter ref="A4:H9"/>
  <mergeCells count="3">
    <mergeCell ref="A1:H1"/>
    <mergeCell ref="A2:H2"/>
    <mergeCell ref="A11:H13"/>
  </mergeCells>
  <hyperlinks>
    <hyperlink ref="A5" r:id="rId2" display="/"/>
    <hyperlink ref="A6" r:id="rId3" display="/product-a"/>
    <hyperlink ref="A7" r:id="rId4" display="/blog/seo-guide"/>
    <hyperlink ref="A8" r:id="rId5" display="/pricing"/>
    <hyperlink ref="A9" r:id="rId6" display="/product-b"/>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
  <legacyDrawing r:id="rId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
    <col collapsed="false" customWidth="true" hidden="false" outlineLevel="0" max="3" min="3" style="0" width="13"/>
    <col collapsed="false" customWidth="true" hidden="false" outlineLevel="0" max="4" min="4" style="0" width="8"/>
    <col collapsed="false" customWidth="true" hidden="false" outlineLevel="0" max="5" min="5" style="0" width="11"/>
    <col collapsed="false" customWidth="true" hidden="false" outlineLevel="0" max="6" min="6" style="0" width="13"/>
    <col collapsed="false" customWidth="true" hidden="false" outlineLevel="0" max="7" min="7" style="0" width="12"/>
    <col collapsed="false" customWidth="true" hidden="false" outlineLevel="0" max="8" min="8" style="0" width="15"/>
  </cols>
  <sheetData>
    <row r="1" customFormat="false" ht="30" hidden="false" customHeight="true" outlineLevel="0" collapsed="false">
      <c r="A1" s="1" t="s">
        <v>102</v>
      </c>
      <c r="B1" s="1"/>
      <c r="C1" s="1"/>
      <c r="D1" s="1"/>
      <c r="E1" s="1"/>
      <c r="F1" s="1"/>
      <c r="G1" s="1"/>
      <c r="H1" s="1"/>
    </row>
    <row r="2" customFormat="false" ht="18" hidden="false" customHeight="true" outlineLevel="0" collapsed="false">
      <c r="A2" s="2" t="s">
        <v>103</v>
      </c>
      <c r="B2" s="2"/>
      <c r="C2" s="2"/>
      <c r="D2" s="2"/>
      <c r="E2" s="2"/>
      <c r="F2" s="2"/>
      <c r="G2" s="2"/>
      <c r="H2" s="2"/>
    </row>
    <row r="4" customFormat="false" ht="27.75" hidden="false" customHeight="true" outlineLevel="0" collapsed="false">
      <c r="A4" s="8" t="s">
        <v>104</v>
      </c>
      <c r="B4" s="8" t="s">
        <v>42</v>
      </c>
      <c r="C4" s="8" t="s">
        <v>43</v>
      </c>
      <c r="D4" s="8" t="s">
        <v>44</v>
      </c>
      <c r="E4" s="8" t="s">
        <v>45</v>
      </c>
      <c r="F4" s="8" t="s">
        <v>105</v>
      </c>
      <c r="G4" s="8" t="s">
        <v>106</v>
      </c>
      <c r="H4" s="8" t="s">
        <v>107</v>
      </c>
    </row>
    <row r="5" customFormat="false" ht="15" hidden="false" customHeight="false" outlineLevel="0" collapsed="false">
      <c r="A5" s="9" t="s">
        <v>108</v>
      </c>
      <c r="B5" s="10" t="n">
        <v>1400</v>
      </c>
      <c r="C5" s="10" t="n">
        <v>9000</v>
      </c>
      <c r="D5" s="11" t="n">
        <f aca="false">IF(OR(C5="",C5=0),"",B5/C5)</f>
        <v>0.155555555555556</v>
      </c>
      <c r="E5" s="12" t="n">
        <v>1.2</v>
      </c>
      <c r="F5" s="32" t="str">
        <f aca="false">IF(E5="","",IF(E5&lt;=3,"1-3",IF(E5&lt;=10,"4-10",IF(E5&lt;=20,"11-20",IF(E5&lt;=50,"21-50","50+")))))</f>
        <v>1-3</v>
      </c>
      <c r="G5" s="33" t="s">
        <v>109</v>
      </c>
      <c r="H5" s="33" t="s">
        <v>110</v>
      </c>
    </row>
    <row r="6" customFormat="false" ht="15" hidden="false" customHeight="false" outlineLevel="0" collapsed="false">
      <c r="A6" s="9" t="s">
        <v>111</v>
      </c>
      <c r="B6" s="10" t="n">
        <v>620</v>
      </c>
      <c r="C6" s="10" t="n">
        <v>18000</v>
      </c>
      <c r="D6" s="11" t="n">
        <f aca="false">IF(OR(C6="",C6=0),"",B6/C6)</f>
        <v>0.0344444444444444</v>
      </c>
      <c r="E6" s="12" t="n">
        <v>4.5</v>
      </c>
      <c r="F6" s="32" t="str">
        <f aca="false">IF(E6="","",IF(E6&lt;=3,"1-3",IF(E6&lt;=10,"4-10",IF(E6&lt;=20,"11-20",IF(E6&lt;=50,"21-50","50+")))))</f>
        <v>4-10</v>
      </c>
      <c r="G6" s="33" t="s">
        <v>112</v>
      </c>
      <c r="H6" s="33" t="s">
        <v>113</v>
      </c>
    </row>
    <row r="7" customFormat="false" ht="15" hidden="false" customHeight="false" outlineLevel="0" collapsed="false">
      <c r="A7" s="9" t="s">
        <v>114</v>
      </c>
      <c r="B7" s="10" t="n">
        <v>410</v>
      </c>
      <c r="C7" s="10" t="n">
        <v>26000</v>
      </c>
      <c r="D7" s="11" t="n">
        <f aca="false">IF(OR(C7="",C7=0),"",B7/C7)</f>
        <v>0.0157692307692308</v>
      </c>
      <c r="E7" s="12" t="n">
        <v>8.1</v>
      </c>
      <c r="F7" s="32" t="str">
        <f aca="false">IF(E7="","",IF(E7&lt;=3,"1-3",IF(E7&lt;=10,"4-10",IF(E7&lt;=20,"11-20",IF(E7&lt;=50,"21-50","50+")))))</f>
        <v>4-10</v>
      </c>
      <c r="G7" s="33" t="s">
        <v>112</v>
      </c>
      <c r="H7" s="33" t="s">
        <v>115</v>
      </c>
    </row>
    <row r="8" customFormat="false" ht="15" hidden="false" customHeight="false" outlineLevel="0" collapsed="false">
      <c r="A8" s="9" t="s">
        <v>116</v>
      </c>
      <c r="B8" s="10" t="n">
        <v>260</v>
      </c>
      <c r="C8" s="10" t="n">
        <v>5400</v>
      </c>
      <c r="D8" s="11" t="n">
        <f aca="false">IF(OR(C8="",C8=0),"",B8/C8)</f>
        <v>0.0481481481481482</v>
      </c>
      <c r="E8" s="12" t="n">
        <v>3.2</v>
      </c>
      <c r="F8" s="32" t="str">
        <f aca="false">IF(E8="","",IF(E8&lt;=3,"1-3",IF(E8&lt;=10,"4-10",IF(E8&lt;=20,"11-20",IF(E8&lt;=50,"21-50","50+")))))</f>
        <v>4-10</v>
      </c>
      <c r="G8" s="33" t="s">
        <v>112</v>
      </c>
      <c r="H8" s="33" t="s">
        <v>117</v>
      </c>
    </row>
    <row r="9" customFormat="false" ht="15" hidden="false" customHeight="false" outlineLevel="0" collapsed="false">
      <c r="A9" s="9" t="s">
        <v>118</v>
      </c>
      <c r="B9" s="10" t="n">
        <v>180</v>
      </c>
      <c r="C9" s="10" t="n">
        <v>14000</v>
      </c>
      <c r="D9" s="11" t="n">
        <f aca="false">IF(OR(C9="",C9=0),"",B9/C9)</f>
        <v>0.0128571428571429</v>
      </c>
      <c r="E9" s="12" t="n">
        <v>12.5</v>
      </c>
      <c r="F9" s="32" t="str">
        <f aca="false">IF(E9="","",IF(E9&lt;=3,"1-3",IF(E9&lt;=10,"4-10",IF(E9&lt;=20,"11-20",IF(E9&lt;=50,"21-50","50+")))))</f>
        <v>11-20</v>
      </c>
      <c r="G9" s="33" t="s">
        <v>112</v>
      </c>
      <c r="H9" s="33" t="s">
        <v>113</v>
      </c>
    </row>
    <row r="11" customFormat="false" ht="45.75" hidden="false" customHeight="true" outlineLevel="0" collapsed="false">
      <c r="A11" s="14" t="s">
        <v>119</v>
      </c>
      <c r="B11" s="14"/>
      <c r="C11" s="14"/>
      <c r="D11" s="14"/>
      <c r="E11" s="14"/>
      <c r="F11" s="14"/>
      <c r="G11" s="14"/>
      <c r="H11" s="14"/>
    </row>
    <row r="12" customFormat="false" ht="15" hidden="false" customHeight="false" outlineLevel="0" collapsed="false">
      <c r="A12" s="14"/>
      <c r="B12" s="14"/>
      <c r="C12" s="14"/>
      <c r="D12" s="14"/>
      <c r="E12" s="14"/>
      <c r="F12" s="14"/>
      <c r="G12" s="14"/>
      <c r="H12" s="14"/>
    </row>
    <row r="13" customFormat="false" ht="15" hidden="false" customHeight="false" outlineLevel="0" collapsed="false">
      <c r="A13" s="14"/>
      <c r="B13" s="14"/>
      <c r="C13" s="14"/>
      <c r="D13" s="14"/>
      <c r="E13" s="14"/>
      <c r="F13" s="14"/>
      <c r="G13" s="14"/>
      <c r="H13" s="14"/>
    </row>
  </sheetData>
  <autoFilter ref="A4:H9"/>
  <mergeCells count="3">
    <mergeCell ref="A1:H1"/>
    <mergeCell ref="A2:H2"/>
    <mergeCell ref="A11: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E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2"/>
    <col collapsed="false" customWidth="true" hidden="false" outlineLevel="0" max="4" min="4" style="0" width="16"/>
    <col collapsed="false" customWidth="true" hidden="false" outlineLevel="0" max="5" min="5" style="0" width="15"/>
  </cols>
  <sheetData>
    <row r="1" customFormat="false" ht="30" hidden="false" customHeight="true" outlineLevel="0" collapsed="false">
      <c r="A1" s="1" t="s">
        <v>120</v>
      </c>
      <c r="B1" s="1"/>
      <c r="C1" s="1"/>
      <c r="D1" s="1"/>
      <c r="E1" s="1"/>
    </row>
    <row r="2" customFormat="false" ht="18" hidden="false" customHeight="true" outlineLevel="0" collapsed="false">
      <c r="A2" s="2" t="s">
        <v>121</v>
      </c>
      <c r="B2" s="2"/>
      <c r="C2" s="2"/>
      <c r="D2" s="2"/>
      <c r="E2" s="2"/>
    </row>
    <row r="4" customFormat="false" ht="27.75" hidden="false" customHeight="true" outlineLevel="0" collapsed="false">
      <c r="A4" s="8" t="s">
        <v>105</v>
      </c>
      <c r="B4" s="8" t="s">
        <v>122</v>
      </c>
      <c r="C4" s="8" t="s">
        <v>42</v>
      </c>
      <c r="D4" s="8" t="s">
        <v>123</v>
      </c>
      <c r="E4" s="8" t="s">
        <v>124</v>
      </c>
    </row>
    <row r="5" customFormat="false" ht="15" hidden="false" customHeight="false" outlineLevel="0" collapsed="false">
      <c r="A5" s="34" t="s">
        <v>125</v>
      </c>
      <c r="B5" s="10" t="n">
        <v>110</v>
      </c>
      <c r="C5" s="10" t="n">
        <v>4200</v>
      </c>
      <c r="D5" s="35" t="n">
        <f aca="false">IF(SUM($B$5:$B$9)=0,"",B5/SUM($B$5:$B$9))</f>
        <v>0.0758620689655172</v>
      </c>
      <c r="E5" s="35" t="n">
        <f aca="false">IF(SUM($C$5:$C$9)=0,"",C5/SUM($C$5:$C$9))</f>
        <v>0.75</v>
      </c>
    </row>
    <row r="6" customFormat="false" ht="15" hidden="false" customHeight="false" outlineLevel="0" collapsed="false">
      <c r="A6" s="34" t="s">
        <v>126</v>
      </c>
      <c r="B6" s="10" t="n">
        <v>260</v>
      </c>
      <c r="C6" s="10" t="n">
        <v>1100</v>
      </c>
      <c r="D6" s="35" t="n">
        <f aca="false">IF(SUM($B$5:$B$9)=0,"",B6/SUM($B$5:$B$9))</f>
        <v>0.179310344827586</v>
      </c>
      <c r="E6" s="35" t="n">
        <f aca="false">IF(SUM($C$5:$C$9)=0,"",C6/SUM($C$5:$C$9))</f>
        <v>0.196428571428571</v>
      </c>
    </row>
    <row r="7" customFormat="false" ht="15" hidden="false" customHeight="false" outlineLevel="0" collapsed="false">
      <c r="A7" s="34" t="s">
        <v>127</v>
      </c>
      <c r="B7" s="10" t="n">
        <v>380</v>
      </c>
      <c r="C7" s="10" t="n">
        <v>260</v>
      </c>
      <c r="D7" s="35" t="n">
        <f aca="false">IF(SUM($B$5:$B$9)=0,"",B7/SUM($B$5:$B$9))</f>
        <v>0.262068965517241</v>
      </c>
      <c r="E7" s="35" t="n">
        <f aca="false">IF(SUM($C$5:$C$9)=0,"",C7/SUM($C$5:$C$9))</f>
        <v>0.0464285714285714</v>
      </c>
    </row>
    <row r="8" customFormat="false" ht="15" hidden="false" customHeight="false" outlineLevel="0" collapsed="false">
      <c r="A8" s="34" t="s">
        <v>128</v>
      </c>
      <c r="B8" s="10" t="n">
        <v>420</v>
      </c>
      <c r="C8" s="10" t="n">
        <v>40</v>
      </c>
      <c r="D8" s="35" t="n">
        <f aca="false">IF(SUM($B$5:$B$9)=0,"",B8/SUM($B$5:$B$9))</f>
        <v>0.289655172413793</v>
      </c>
      <c r="E8" s="35" t="n">
        <f aca="false">IF(SUM($C$5:$C$9)=0,"",C8/SUM($C$5:$C$9))</f>
        <v>0.00714285714285714</v>
      </c>
    </row>
    <row r="9" customFormat="false" ht="15" hidden="false" customHeight="false" outlineLevel="0" collapsed="false">
      <c r="A9" s="34" t="s">
        <v>129</v>
      </c>
      <c r="B9" s="10" t="n">
        <v>280</v>
      </c>
      <c r="C9" s="10" t="n">
        <v>0</v>
      </c>
      <c r="D9" s="35" t="n">
        <f aca="false">IF(SUM($B$5:$B$9)=0,"",B9/SUM($B$5:$B$9))</f>
        <v>0.193103448275862</v>
      </c>
      <c r="E9" s="35" t="n">
        <f aca="false">IF(SUM($C$5:$C$9)=0,"",C9/SUM($C$5:$C$9))</f>
        <v>0</v>
      </c>
    </row>
    <row r="10" customFormat="false" ht="15" hidden="false" customHeight="false" outlineLevel="0" collapsed="false">
      <c r="A10" s="36" t="s">
        <v>130</v>
      </c>
      <c r="B10" s="37" t="n">
        <f aca="false">SUM(B5:B9)</f>
        <v>1450</v>
      </c>
      <c r="C10" s="37" t="n">
        <f aca="false">SUM(C5:C9)</f>
        <v>5600</v>
      </c>
      <c r="D10" s="38"/>
      <c r="E10" s="38"/>
    </row>
    <row r="12" customFormat="false" ht="45.75" hidden="false" customHeight="true" outlineLevel="0" collapsed="false">
      <c r="A12" s="14" t="s">
        <v>131</v>
      </c>
      <c r="B12" s="14"/>
      <c r="C12" s="14"/>
      <c r="D12" s="14"/>
      <c r="E12" s="14"/>
    </row>
    <row r="13" customFormat="false" ht="15" hidden="false" customHeight="false" outlineLevel="0" collapsed="false">
      <c r="A13" s="14"/>
      <c r="B13" s="14"/>
      <c r="C13" s="14"/>
      <c r="D13" s="14"/>
      <c r="E13" s="14"/>
    </row>
    <row r="14" customFormat="false" ht="15" hidden="false" customHeight="false" outlineLevel="0" collapsed="false">
      <c r="A14" s="14"/>
      <c r="B14" s="14"/>
      <c r="C14" s="14"/>
      <c r="D14" s="14"/>
      <c r="E14" s="14"/>
    </row>
  </sheetData>
  <mergeCells count="3">
    <mergeCell ref="A1:E1"/>
    <mergeCell ref="A2:E2"/>
    <mergeCell ref="A12:E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5"/>
    <col collapsed="false" customWidth="true" hidden="false" outlineLevel="0" max="3" min="3" style="0" width="12"/>
    <col collapsed="false" customWidth="true" hidden="false" outlineLevel="0" max="5" min="4" style="0" width="8"/>
    <col collapsed="false" customWidth="true" hidden="false" outlineLevel="0" max="6" min="6" style="0" width="16"/>
    <col collapsed="false" customWidth="true" hidden="false" outlineLevel="0" max="7" min="7" style="0" width="15"/>
    <col collapsed="false" customWidth="true" hidden="false" outlineLevel="0" max="8" min="8" style="0" width="30"/>
  </cols>
  <sheetData>
    <row r="1" customFormat="false" ht="30" hidden="false" customHeight="true" outlineLevel="0" collapsed="false">
      <c r="A1" s="1" t="s">
        <v>132</v>
      </c>
      <c r="B1" s="1"/>
      <c r="C1" s="1"/>
      <c r="D1" s="1"/>
      <c r="E1" s="1"/>
      <c r="F1" s="1"/>
      <c r="G1" s="1"/>
      <c r="H1" s="1"/>
    </row>
    <row r="2" customFormat="false" ht="18" hidden="false" customHeight="true" outlineLevel="0" collapsed="false">
      <c r="A2" s="2" t="s">
        <v>133</v>
      </c>
      <c r="B2" s="2"/>
      <c r="C2" s="2"/>
      <c r="D2" s="2"/>
      <c r="E2" s="2"/>
      <c r="F2" s="2"/>
      <c r="G2" s="2"/>
      <c r="H2" s="2"/>
    </row>
    <row r="4" customFormat="false" ht="27.75" hidden="false" customHeight="true" outlineLevel="0" collapsed="false">
      <c r="A4" s="8" t="s">
        <v>104</v>
      </c>
      <c r="B4" s="8" t="s">
        <v>134</v>
      </c>
      <c r="C4" s="8" t="s">
        <v>43</v>
      </c>
      <c r="D4" s="8" t="s">
        <v>42</v>
      </c>
      <c r="E4" s="8" t="s">
        <v>44</v>
      </c>
      <c r="F4" s="8" t="s">
        <v>135</v>
      </c>
      <c r="G4" s="8" t="s">
        <v>136</v>
      </c>
      <c r="H4" s="8" t="s">
        <v>137</v>
      </c>
    </row>
    <row r="5" customFormat="false" ht="15" hidden="false" customHeight="false" outlineLevel="0" collapsed="false">
      <c r="A5" s="9" t="s">
        <v>138</v>
      </c>
      <c r="B5" s="39" t="n">
        <v>6.4</v>
      </c>
      <c r="C5" s="10" t="n">
        <v>12000</v>
      </c>
      <c r="D5" s="10" t="n">
        <v>180</v>
      </c>
      <c r="E5" s="11" t="n">
        <f aca="false">IF(OR(C5="",C5=0),"",D5/C5)</f>
        <v>0.015</v>
      </c>
      <c r="F5" s="40" t="s">
        <v>97</v>
      </c>
      <c r="G5" s="33" t="s">
        <v>139</v>
      </c>
      <c r="H5" s="40" t="s">
        <v>140</v>
      </c>
    </row>
    <row r="6" customFormat="false" ht="15" hidden="false" customHeight="false" outlineLevel="0" collapsed="false">
      <c r="A6" s="9" t="s">
        <v>141</v>
      </c>
      <c r="B6" s="39" t="n">
        <v>8.1</v>
      </c>
      <c r="C6" s="10" t="n">
        <v>8800</v>
      </c>
      <c r="D6" s="10" t="n">
        <v>140</v>
      </c>
      <c r="E6" s="11" t="n">
        <f aca="false">IF(OR(C6="",C6=0),"",D6/C6)</f>
        <v>0.0159090909090909</v>
      </c>
      <c r="F6" s="40" t="s">
        <v>99</v>
      </c>
      <c r="G6" s="33" t="s">
        <v>142</v>
      </c>
      <c r="H6" s="40" t="s">
        <v>143</v>
      </c>
    </row>
    <row r="7" customFormat="false" ht="15" hidden="false" customHeight="false" outlineLevel="0" collapsed="false">
      <c r="A7" s="9" t="s">
        <v>144</v>
      </c>
      <c r="B7" s="39" t="n">
        <v>11.2</v>
      </c>
      <c r="C7" s="10" t="n">
        <v>9500</v>
      </c>
      <c r="D7" s="10" t="n">
        <v>90</v>
      </c>
      <c r="E7" s="11" t="n">
        <f aca="false">IF(OR(C7="",C7=0),"",D7/C7)</f>
        <v>0.00947368421052632</v>
      </c>
      <c r="F7" s="40" t="s">
        <v>145</v>
      </c>
      <c r="G7" s="33" t="s">
        <v>146</v>
      </c>
      <c r="H7" s="40" t="s">
        <v>147</v>
      </c>
    </row>
    <row r="8" customFormat="false" ht="15" hidden="false" customHeight="false" outlineLevel="0" collapsed="false">
      <c r="A8" s="9" t="s">
        <v>148</v>
      </c>
      <c r="B8" s="39" t="n">
        <v>14.5</v>
      </c>
      <c r="C8" s="10" t="n">
        <v>7200</v>
      </c>
      <c r="D8" s="10" t="n">
        <v>40</v>
      </c>
      <c r="E8" s="11" t="n">
        <f aca="false">IF(OR(C8="",C8=0),"",D8/C8)</f>
        <v>0.00555555555555556</v>
      </c>
      <c r="F8" s="40" t="s">
        <v>149</v>
      </c>
      <c r="G8" s="33" t="s">
        <v>150</v>
      </c>
      <c r="H8" s="40" t="s">
        <v>151</v>
      </c>
    </row>
    <row r="9" customFormat="false" ht="15" hidden="false" customHeight="false" outlineLevel="0" collapsed="false">
      <c r="A9" s="9" t="s">
        <v>152</v>
      </c>
      <c r="B9" s="39" t="n">
        <v>17</v>
      </c>
      <c r="C9" s="10" t="n">
        <v>4100</v>
      </c>
      <c r="D9" s="10" t="n">
        <v>18</v>
      </c>
      <c r="E9" s="11" t="n">
        <f aca="false">IF(OR(C9="",C9=0),"",D9/C9)</f>
        <v>0.00439024390243903</v>
      </c>
      <c r="F9" s="40" t="s">
        <v>153</v>
      </c>
      <c r="G9" s="33" t="s">
        <v>154</v>
      </c>
      <c r="H9" s="40" t="s">
        <v>155</v>
      </c>
    </row>
    <row r="11" customFormat="false" ht="45.75" hidden="false" customHeight="true" outlineLevel="0" collapsed="false">
      <c r="A11" s="14" t="s">
        <v>156</v>
      </c>
      <c r="B11" s="14"/>
      <c r="C11" s="14"/>
      <c r="D11" s="14"/>
      <c r="E11" s="14"/>
      <c r="F11" s="14"/>
      <c r="G11" s="14"/>
      <c r="H11" s="14"/>
    </row>
    <row r="12" customFormat="false" ht="15" hidden="false" customHeight="false" outlineLevel="0" collapsed="false">
      <c r="A12" s="14"/>
      <c r="B12" s="14"/>
      <c r="C12" s="14"/>
      <c r="D12" s="14"/>
      <c r="E12" s="14"/>
      <c r="F12" s="14"/>
      <c r="G12" s="14"/>
      <c r="H12" s="14"/>
    </row>
    <row r="13" customFormat="false" ht="15" hidden="false" customHeight="false" outlineLevel="0" collapsed="false">
      <c r="A13" s="14"/>
      <c r="B13" s="14"/>
      <c r="C13" s="14"/>
      <c r="D13" s="14"/>
      <c r="E13" s="14"/>
      <c r="F13" s="14"/>
      <c r="G13" s="14"/>
      <c r="H13" s="14"/>
    </row>
  </sheetData>
  <autoFilter ref="A4:H9"/>
  <mergeCells count="3">
    <mergeCell ref="A1:H1"/>
    <mergeCell ref="A2:H2"/>
    <mergeCell ref="A11: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3"/>
    <col collapsed="false" customWidth="true" hidden="false" outlineLevel="0" max="3" min="3" style="0" width="10"/>
    <col collapsed="false" customWidth="true" hidden="false" outlineLevel="0" max="4" min="4" style="0" width="9"/>
    <col collapsed="false" customWidth="true" hidden="false" outlineLevel="0" max="5" min="5" style="0" width="10"/>
    <col collapsed="false" customWidth="true" hidden="false" outlineLevel="0" max="6" min="6" style="0" width="13"/>
  </cols>
  <sheetData>
    <row r="1" customFormat="false" ht="30" hidden="false" customHeight="true" outlineLevel="0" collapsed="false">
      <c r="A1" s="1" t="s">
        <v>157</v>
      </c>
      <c r="B1" s="1"/>
      <c r="C1" s="1"/>
      <c r="D1" s="1"/>
      <c r="E1" s="1"/>
      <c r="F1" s="1"/>
    </row>
    <row r="2" customFormat="false" ht="18" hidden="false" customHeight="true" outlineLevel="0" collapsed="false">
      <c r="A2" s="2" t="s">
        <v>158</v>
      </c>
      <c r="B2" s="2"/>
      <c r="C2" s="2"/>
      <c r="D2" s="2"/>
      <c r="E2" s="2"/>
      <c r="F2" s="2"/>
    </row>
    <row r="4" customFormat="false" ht="27.75" hidden="false" customHeight="true" outlineLevel="0" collapsed="false">
      <c r="A4" s="8" t="s">
        <v>94</v>
      </c>
      <c r="B4" s="8" t="s">
        <v>159</v>
      </c>
      <c r="C4" s="8" t="s">
        <v>160</v>
      </c>
      <c r="D4" s="8" t="s">
        <v>161</v>
      </c>
      <c r="E4" s="8" t="s">
        <v>162</v>
      </c>
      <c r="F4" s="8" t="s">
        <v>163</v>
      </c>
    </row>
    <row r="5" customFormat="false" ht="15" hidden="false" customHeight="false" outlineLevel="0" collapsed="false">
      <c r="A5" s="31" t="s">
        <v>96</v>
      </c>
      <c r="B5" s="41" t="n">
        <v>62</v>
      </c>
      <c r="C5" s="39" t="n">
        <v>2.1</v>
      </c>
      <c r="D5" s="42" t="n">
        <v>0.08</v>
      </c>
      <c r="E5" s="41" t="n">
        <v>180</v>
      </c>
      <c r="F5" s="32" t="str">
        <f aca="false">IF(C5="","",IF(AND(C5&lt;=2.5,D5&lt;=0.1,E5&lt;=200),"Pass",IF(OR(C5&gt;4,D5&gt;0.25,E5&gt;500),"Poor","Needs work")))</f>
        <v>Pass</v>
      </c>
    </row>
    <row r="6" customFormat="false" ht="15" hidden="false" customHeight="false" outlineLevel="0" collapsed="false">
      <c r="A6" s="31" t="s">
        <v>97</v>
      </c>
      <c r="B6" s="41" t="n">
        <v>54</v>
      </c>
      <c r="C6" s="39" t="n">
        <v>3</v>
      </c>
      <c r="D6" s="42" t="n">
        <v>0.12</v>
      </c>
      <c r="E6" s="41" t="n">
        <v>260</v>
      </c>
      <c r="F6" s="32" t="str">
        <f aca="false">IF(C6="","",IF(AND(C6&lt;=2.5,D6&lt;=0.1,E6&lt;=200),"Pass",IF(OR(C6&gt;4,D6&gt;0.25,E6&gt;500),"Poor","Needs work")))</f>
        <v>Needs work</v>
      </c>
    </row>
    <row r="7" customFormat="false" ht="15" hidden="false" customHeight="false" outlineLevel="0" collapsed="false">
      <c r="A7" s="31" t="s">
        <v>98</v>
      </c>
      <c r="B7" s="41" t="n">
        <v>78</v>
      </c>
      <c r="C7" s="39" t="n">
        <v>1.8</v>
      </c>
      <c r="D7" s="42" t="n">
        <v>0.05</v>
      </c>
      <c r="E7" s="41" t="n">
        <v>140</v>
      </c>
      <c r="F7" s="32" t="str">
        <f aca="false">IF(C7="","",IF(AND(C7&lt;=2.5,D7&lt;=0.1,E7&lt;=200),"Pass",IF(OR(C7&gt;4,D7&gt;0.25,E7&gt;500),"Poor","Needs work")))</f>
        <v>Pass</v>
      </c>
    </row>
    <row r="8" customFormat="false" ht="15" hidden="false" customHeight="false" outlineLevel="0" collapsed="false">
      <c r="A8" s="31" t="s">
        <v>99</v>
      </c>
      <c r="B8" s="41" t="n">
        <v>69</v>
      </c>
      <c r="C8" s="39" t="n">
        <v>2.4</v>
      </c>
      <c r="D8" s="42" t="n">
        <v>0.09</v>
      </c>
      <c r="E8" s="41" t="n">
        <v>210</v>
      </c>
      <c r="F8" s="32" t="str">
        <f aca="false">IF(C8="","",IF(AND(C8&lt;=2.5,D8&lt;=0.1,E8&lt;=200),"Pass",IF(OR(C8&gt;4,D8&gt;0.25,E8&gt;500),"Poor","Needs work")))</f>
        <v>Needs work</v>
      </c>
    </row>
    <row r="9" customFormat="false" ht="15" hidden="false" customHeight="false" outlineLevel="0" collapsed="false">
      <c r="A9" s="31" t="s">
        <v>100</v>
      </c>
      <c r="B9" s="41" t="n">
        <v>48</v>
      </c>
      <c r="C9" s="39" t="n">
        <v>3.6</v>
      </c>
      <c r="D9" s="42" t="n">
        <v>0.22</v>
      </c>
      <c r="E9" s="41" t="n">
        <v>420</v>
      </c>
      <c r="F9" s="32" t="str">
        <f aca="false">IF(C9="","",IF(AND(C9&lt;=2.5,D9&lt;=0.1,E9&lt;=200),"Pass",IF(OR(C9&gt;4,D9&gt;0.25,E9&gt;500),"Poor","Needs work")))</f>
        <v>Needs work</v>
      </c>
    </row>
    <row r="11" customFormat="false" ht="45.75" hidden="false" customHeight="true" outlineLevel="0" collapsed="false">
      <c r="A11" s="43" t="s">
        <v>164</v>
      </c>
      <c r="B11" s="43"/>
      <c r="C11" s="43"/>
      <c r="D11" s="43"/>
      <c r="E11" s="43"/>
      <c r="F11" s="43"/>
    </row>
    <row r="12" customFormat="false" ht="15" hidden="false" customHeight="false" outlineLevel="0" collapsed="false">
      <c r="A12" s="43"/>
      <c r="B12" s="43"/>
      <c r="C12" s="43"/>
      <c r="D12" s="43"/>
      <c r="E12" s="43"/>
      <c r="F12" s="43"/>
    </row>
    <row r="13" customFormat="false" ht="15" hidden="false" customHeight="false" outlineLevel="0" collapsed="false">
      <c r="A13" s="43"/>
      <c r="B13" s="43"/>
      <c r="C13" s="43"/>
      <c r="D13" s="43"/>
      <c r="E13" s="43"/>
      <c r="F13" s="43"/>
    </row>
  </sheetData>
  <autoFilter ref="A4:F9"/>
  <mergeCells count="3">
    <mergeCell ref="A1:F1"/>
    <mergeCell ref="A2:F2"/>
    <mergeCell ref="A11:F13"/>
  </mergeCells>
  <conditionalFormatting sqref="F5:F9">
    <cfRule type="cellIs" priority="2" operator="equal" aboveAverage="0" equalAverage="0" bottom="0" percent="0" rank="0" text="" dxfId="13">
      <formula>"Poor"</formula>
    </cfRule>
    <cfRule type="cellIs" priority="3" operator="equal" aboveAverage="0" equalAverage="0" bottom="0" percent="0" rank="0" text="" dxfId="14">
      <formula>"Needs work"</formula>
    </cfRule>
    <cfRule type="cellIs" priority="4" operator="equal" aboveAverage="0" equalAverage="0" bottom="0" percent="0" rank="0" text="" dxfId="15">
      <formula>"Pass"</formula>
    </cfRule>
  </conditionalFormatting>
  <hyperlinks>
    <hyperlink ref="A5" r:id="rId2" display="/"/>
    <hyperlink ref="A6" r:id="rId3" display="/product-a"/>
    <hyperlink ref="A7" r:id="rId4" display="/blog/seo-guide"/>
    <hyperlink ref="A8" r:id="rId5" display="/pricing"/>
    <hyperlink ref="A9" r:id="rId6" display="/product-b"/>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
  <legacyDrawing r:id="rId8"/>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G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16"/>
    <col collapsed="false" customWidth="true" hidden="false" outlineLevel="0" max="6" min="4" style="0" width="15"/>
    <col collapsed="false" customWidth="true" hidden="false" outlineLevel="0" max="7" min="7" style="0" width="10"/>
  </cols>
  <sheetData>
    <row r="1" customFormat="false" ht="30" hidden="false" customHeight="true" outlineLevel="0" collapsed="false">
      <c r="A1" s="1" t="s">
        <v>165</v>
      </c>
      <c r="B1" s="1"/>
      <c r="C1" s="1"/>
      <c r="D1" s="1"/>
      <c r="E1" s="1"/>
      <c r="F1" s="1"/>
      <c r="G1" s="1"/>
    </row>
    <row r="2" customFormat="false" ht="18" hidden="false" customHeight="true" outlineLevel="0" collapsed="false">
      <c r="A2" s="2" t="s">
        <v>166</v>
      </c>
      <c r="B2" s="2"/>
      <c r="C2" s="2"/>
      <c r="D2" s="2"/>
      <c r="E2" s="2"/>
      <c r="F2" s="2"/>
      <c r="G2" s="2"/>
    </row>
    <row r="4" customFormat="false" ht="27.75" hidden="false" customHeight="true" outlineLevel="0" collapsed="false">
      <c r="A4" s="8" t="s">
        <v>41</v>
      </c>
      <c r="B4" s="8" t="s">
        <v>52</v>
      </c>
      <c r="C4" s="8" t="s">
        <v>51</v>
      </c>
      <c r="D4" s="8" t="s">
        <v>167</v>
      </c>
      <c r="E4" s="8" t="s">
        <v>168</v>
      </c>
      <c r="F4" s="8" t="s">
        <v>169</v>
      </c>
      <c r="G4" s="8" t="s">
        <v>170</v>
      </c>
    </row>
    <row r="5" customFormat="false" ht="15" hidden="false" customHeight="false" outlineLevel="0" collapsed="false">
      <c r="A5" s="9" t="s">
        <v>53</v>
      </c>
      <c r="B5" s="41" t="n">
        <v>42</v>
      </c>
      <c r="C5" s="10" t="n">
        <v>340</v>
      </c>
      <c r="D5" s="10" t="n">
        <v>5200</v>
      </c>
      <c r="E5" s="10" t="n">
        <v>18</v>
      </c>
      <c r="F5" s="10" t="n">
        <v>6</v>
      </c>
      <c r="G5" s="25" t="n">
        <f aca="false">IF(OR(E5="",F5=""),"",E5-F5)</f>
        <v>12</v>
      </c>
    </row>
    <row r="6" customFormat="false" ht="15" hidden="false" customHeight="false" outlineLevel="0" collapsed="false">
      <c r="A6" s="9" t="s">
        <v>54</v>
      </c>
      <c r="B6" s="41" t="n">
        <v>43</v>
      </c>
      <c r="C6" s="10" t="n">
        <v>352</v>
      </c>
      <c r="D6" s="10" t="n">
        <v>5600</v>
      </c>
      <c r="E6" s="10" t="n">
        <v>20</v>
      </c>
      <c r="F6" s="10" t="n">
        <v>8</v>
      </c>
      <c r="G6" s="25" t="n">
        <f aca="false">IF(OR(E6="",F6=""),"",E6-F6)</f>
        <v>12</v>
      </c>
    </row>
    <row r="7" customFormat="false" ht="15" hidden="false" customHeight="false" outlineLevel="0" collapsed="false">
      <c r="A7" s="9" t="s">
        <v>55</v>
      </c>
      <c r="B7" s="41" t="n">
        <v>44</v>
      </c>
      <c r="C7" s="10" t="n">
        <v>365</v>
      </c>
      <c r="D7" s="10" t="n">
        <v>6100</v>
      </c>
      <c r="E7" s="10" t="n">
        <v>24</v>
      </c>
      <c r="F7" s="10" t="n">
        <v>11</v>
      </c>
      <c r="G7" s="25" t="n">
        <f aca="false">IF(OR(E7="",F7=""),"",E7-F7)</f>
        <v>13</v>
      </c>
    </row>
    <row r="8" customFormat="false" ht="15" hidden="false" customHeight="false" outlineLevel="0" collapsed="false">
      <c r="A8" s="9" t="s">
        <v>56</v>
      </c>
      <c r="B8" s="41"/>
      <c r="C8" s="10"/>
      <c r="D8" s="10"/>
      <c r="E8" s="10"/>
      <c r="F8" s="10"/>
      <c r="G8" s="25" t="str">
        <f aca="false">IF(OR(E8="",F8=""),"",E8-F8)</f>
        <v/>
      </c>
    </row>
    <row r="9" customFormat="false" ht="15" hidden="false" customHeight="false" outlineLevel="0" collapsed="false">
      <c r="A9" s="9" t="s">
        <v>57</v>
      </c>
      <c r="B9" s="41"/>
      <c r="C9" s="10"/>
      <c r="D9" s="10"/>
      <c r="E9" s="10"/>
      <c r="F9" s="10"/>
      <c r="G9" s="25" t="str">
        <f aca="false">IF(OR(E9="",F9=""),"",E9-F9)</f>
        <v/>
      </c>
    </row>
    <row r="10" customFormat="false" ht="15" hidden="false" customHeight="false" outlineLevel="0" collapsed="false">
      <c r="A10" s="9" t="s">
        <v>58</v>
      </c>
      <c r="B10" s="41"/>
      <c r="C10" s="10"/>
      <c r="D10" s="10"/>
      <c r="E10" s="10"/>
      <c r="F10" s="10"/>
      <c r="G10" s="25" t="str">
        <f aca="false">IF(OR(E10="",F10=""),"",E10-F10)</f>
        <v/>
      </c>
    </row>
    <row r="11" customFormat="false" ht="15" hidden="false" customHeight="false" outlineLevel="0" collapsed="false">
      <c r="A11" s="9" t="s">
        <v>59</v>
      </c>
      <c r="B11" s="41"/>
      <c r="C11" s="10"/>
      <c r="D11" s="10"/>
      <c r="E11" s="10"/>
      <c r="F11" s="10"/>
      <c r="G11" s="25" t="str">
        <f aca="false">IF(OR(E11="",F11=""),"",E11-F11)</f>
        <v/>
      </c>
    </row>
    <row r="12" customFormat="false" ht="15" hidden="false" customHeight="false" outlineLevel="0" collapsed="false">
      <c r="A12" s="9" t="s">
        <v>60</v>
      </c>
      <c r="B12" s="41"/>
      <c r="C12" s="10"/>
      <c r="D12" s="10"/>
      <c r="E12" s="10"/>
      <c r="F12" s="10"/>
      <c r="G12" s="25" t="str">
        <f aca="false">IF(OR(E12="",F12=""),"",E12-F12)</f>
        <v/>
      </c>
    </row>
    <row r="13" customFormat="false" ht="15" hidden="false" customHeight="false" outlineLevel="0" collapsed="false">
      <c r="A13" s="9" t="s">
        <v>61</v>
      </c>
      <c r="B13" s="41"/>
      <c r="C13" s="10"/>
      <c r="D13" s="10"/>
      <c r="E13" s="10"/>
      <c r="F13" s="10"/>
      <c r="G13" s="25" t="str">
        <f aca="false">IF(OR(E13="",F13=""),"",E13-F13)</f>
        <v/>
      </c>
    </row>
    <row r="14" customFormat="false" ht="15" hidden="false" customHeight="false" outlineLevel="0" collapsed="false">
      <c r="A14" s="9" t="s">
        <v>62</v>
      </c>
      <c r="B14" s="41"/>
      <c r="C14" s="10"/>
      <c r="D14" s="10"/>
      <c r="E14" s="10"/>
      <c r="F14" s="10"/>
      <c r="G14" s="25" t="str">
        <f aca="false">IF(OR(E14="",F14=""),"",E14-F14)</f>
        <v/>
      </c>
    </row>
    <row r="15" customFormat="false" ht="15" hidden="false" customHeight="false" outlineLevel="0" collapsed="false">
      <c r="A15" s="9" t="s">
        <v>63</v>
      </c>
      <c r="B15" s="41"/>
      <c r="C15" s="10"/>
      <c r="D15" s="10"/>
      <c r="E15" s="10"/>
      <c r="F15" s="10"/>
      <c r="G15" s="25" t="str">
        <f aca="false">IF(OR(E15="",F15=""),"",E15-F15)</f>
        <v/>
      </c>
    </row>
    <row r="16" customFormat="false" ht="15" hidden="false" customHeight="false" outlineLevel="0" collapsed="false">
      <c r="A16" s="9" t="s">
        <v>64</v>
      </c>
      <c r="B16" s="41"/>
      <c r="C16" s="10"/>
      <c r="D16" s="10"/>
      <c r="E16" s="10"/>
      <c r="F16" s="10"/>
      <c r="G16" s="25" t="str">
        <f aca="false">IF(OR(E16="",F16=""),"",E16-F16)</f>
        <v/>
      </c>
    </row>
    <row r="18" customFormat="false" ht="45.75" hidden="false" customHeight="true" outlineLevel="0" collapsed="false">
      <c r="A18" s="14" t="s">
        <v>171</v>
      </c>
      <c r="B18" s="14"/>
      <c r="C18" s="14"/>
      <c r="D18" s="14"/>
      <c r="E18" s="14"/>
      <c r="F18" s="14"/>
      <c r="G18" s="14"/>
    </row>
    <row r="19" customFormat="false" ht="15" hidden="false" customHeight="false" outlineLevel="0" collapsed="false">
      <c r="A19" s="14"/>
      <c r="B19" s="14"/>
      <c r="C19" s="14"/>
      <c r="D19" s="14"/>
      <c r="E19" s="14"/>
      <c r="F19" s="14"/>
      <c r="G19" s="14"/>
    </row>
    <row r="20" customFormat="false" ht="15" hidden="false" customHeight="false" outlineLevel="0" collapsed="false">
      <c r="A20" s="14"/>
      <c r="B20" s="14"/>
      <c r="C20" s="14"/>
      <c r="D20" s="14"/>
      <c r="E20" s="14"/>
      <c r="F20" s="14"/>
      <c r="G20" s="14"/>
    </row>
  </sheetData>
  <autoFilter ref="A4:G16"/>
  <mergeCells count="3">
    <mergeCell ref="A1:G1"/>
    <mergeCell ref="A2:G2"/>
    <mergeCell ref="A18:G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E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4"/>
    <col collapsed="false" customWidth="true" hidden="false" outlineLevel="0" max="4" min="4" style="0" width="24"/>
    <col collapsed="false" customWidth="true" hidden="false" outlineLevel="0" max="5" min="5" style="0" width="46"/>
  </cols>
  <sheetData>
    <row r="1" customFormat="false" ht="30" hidden="false" customHeight="true" outlineLevel="0" collapsed="false">
      <c r="A1" s="1" t="s">
        <v>172</v>
      </c>
      <c r="B1" s="1"/>
      <c r="C1" s="1"/>
      <c r="D1" s="1"/>
      <c r="E1" s="1"/>
    </row>
    <row r="2" customFormat="false" ht="18" hidden="false" customHeight="true" outlineLevel="0" collapsed="false">
      <c r="A2" s="2" t="s">
        <v>173</v>
      </c>
      <c r="B2" s="2"/>
      <c r="C2" s="2"/>
      <c r="D2" s="2"/>
      <c r="E2" s="2"/>
    </row>
    <row r="4" customFormat="false" ht="27.75" hidden="false" customHeight="true" outlineLevel="0" collapsed="false">
      <c r="A4" s="8" t="s">
        <v>174</v>
      </c>
      <c r="B4" s="8" t="s">
        <v>175</v>
      </c>
      <c r="C4" s="8" t="s">
        <v>176</v>
      </c>
      <c r="D4" s="8" t="s">
        <v>177</v>
      </c>
      <c r="E4" s="8" t="s">
        <v>178</v>
      </c>
    </row>
    <row r="5" customFormat="false" ht="42" hidden="false" customHeight="true" outlineLevel="0" collapsed="false">
      <c r="A5" s="44" t="s">
        <v>179</v>
      </c>
      <c r="B5" s="18" t="s">
        <v>180</v>
      </c>
      <c r="C5" s="45" t="s">
        <v>181</v>
      </c>
      <c r="D5" s="45" t="s">
        <v>182</v>
      </c>
      <c r="E5" s="45" t="s">
        <v>183</v>
      </c>
    </row>
    <row r="6" customFormat="false" ht="42" hidden="false" customHeight="true" outlineLevel="0" collapsed="false">
      <c r="A6" s="44" t="s">
        <v>179</v>
      </c>
      <c r="B6" s="18" t="s">
        <v>184</v>
      </c>
      <c r="C6" s="45" t="s">
        <v>185</v>
      </c>
      <c r="D6" s="45" t="s">
        <v>186</v>
      </c>
      <c r="E6" s="45" t="s">
        <v>187</v>
      </c>
    </row>
    <row r="7" customFormat="false" ht="42" hidden="false" customHeight="true" outlineLevel="0" collapsed="false">
      <c r="A7" s="44" t="s">
        <v>179</v>
      </c>
      <c r="B7" s="18" t="s">
        <v>188</v>
      </c>
      <c r="C7" s="45" t="s">
        <v>189</v>
      </c>
      <c r="D7" s="45" t="s">
        <v>157</v>
      </c>
      <c r="E7" s="45" t="s">
        <v>190</v>
      </c>
    </row>
    <row r="8" customFormat="false" ht="42" hidden="false" customHeight="true" outlineLevel="0" collapsed="false">
      <c r="A8" s="46" t="s">
        <v>191</v>
      </c>
      <c r="B8" s="18" t="s">
        <v>192</v>
      </c>
      <c r="C8" s="45" t="s">
        <v>193</v>
      </c>
      <c r="D8" s="45" t="s">
        <v>132</v>
      </c>
      <c r="E8" s="45" t="s">
        <v>194</v>
      </c>
    </row>
    <row r="9" customFormat="false" ht="42" hidden="false" customHeight="true" outlineLevel="0" collapsed="false">
      <c r="A9" s="46" t="s">
        <v>191</v>
      </c>
      <c r="B9" s="18" t="s">
        <v>195</v>
      </c>
      <c r="C9" s="45" t="s">
        <v>196</v>
      </c>
      <c r="D9" s="45" t="s">
        <v>102</v>
      </c>
      <c r="E9" s="45" t="s">
        <v>197</v>
      </c>
    </row>
    <row r="10" customFormat="false" ht="42" hidden="false" customHeight="true" outlineLevel="0" collapsed="false">
      <c r="A10" s="46" t="s">
        <v>191</v>
      </c>
      <c r="B10" s="18" t="s">
        <v>198</v>
      </c>
      <c r="C10" s="45" t="s">
        <v>199</v>
      </c>
      <c r="D10" s="45" t="s">
        <v>165</v>
      </c>
      <c r="E10" s="45" t="s">
        <v>200</v>
      </c>
    </row>
  </sheetData>
  <autoFilter ref="A4:E10"/>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62"/>
    <col collapsed="false" customWidth="true" hidden="false" outlineLevel="0" max="3" min="3" style="0" width="18"/>
  </cols>
  <sheetData>
    <row r="1" customFormat="false" ht="30" hidden="false" customHeight="true" outlineLevel="0" collapsed="false">
      <c r="A1" s="1" t="s">
        <v>201</v>
      </c>
      <c r="B1" s="1"/>
      <c r="C1" s="1"/>
    </row>
    <row r="2" customFormat="false" ht="18" hidden="false" customHeight="true" outlineLevel="0" collapsed="false">
      <c r="A2" s="2" t="s">
        <v>202</v>
      </c>
      <c r="B2" s="2"/>
      <c r="C2" s="2"/>
    </row>
    <row r="4" customFormat="false" ht="27.75" hidden="false" customHeight="true" outlineLevel="0" collapsed="false">
      <c r="A4" s="8" t="s">
        <v>81</v>
      </c>
      <c r="B4" s="8" t="s">
        <v>176</v>
      </c>
      <c r="C4" s="8" t="s">
        <v>203</v>
      </c>
    </row>
    <row r="5" customFormat="false" ht="25.5" hidden="false" customHeight="true" outlineLevel="0" collapsed="false">
      <c r="A5" s="18" t="s">
        <v>42</v>
      </c>
      <c r="B5" s="45" t="s">
        <v>204</v>
      </c>
      <c r="C5" s="47" t="s">
        <v>205</v>
      </c>
    </row>
    <row r="6" customFormat="false" ht="25.5" hidden="false" customHeight="true" outlineLevel="0" collapsed="false">
      <c r="A6" s="18" t="s">
        <v>43</v>
      </c>
      <c r="B6" s="45" t="s">
        <v>206</v>
      </c>
      <c r="C6" s="47" t="s">
        <v>207</v>
      </c>
    </row>
    <row r="7" customFormat="false" ht="25.5" hidden="false" customHeight="true" outlineLevel="0" collapsed="false">
      <c r="A7" s="18" t="s">
        <v>44</v>
      </c>
      <c r="B7" s="45" t="s">
        <v>208</v>
      </c>
      <c r="C7" s="47" t="s">
        <v>205</v>
      </c>
    </row>
    <row r="8" customFormat="false" ht="25.5" hidden="false" customHeight="true" outlineLevel="0" collapsed="false">
      <c r="A8" s="18" t="s">
        <v>45</v>
      </c>
      <c r="B8" s="45" t="s">
        <v>209</v>
      </c>
      <c r="C8" s="47" t="s">
        <v>210</v>
      </c>
    </row>
    <row r="9" customFormat="false" ht="25.5" hidden="false" customHeight="true" outlineLevel="0" collapsed="false">
      <c r="A9" s="18" t="s">
        <v>46</v>
      </c>
      <c r="B9" s="45" t="s">
        <v>211</v>
      </c>
      <c r="C9" s="47" t="s">
        <v>205</v>
      </c>
    </row>
    <row r="10" customFormat="false" ht="25.5" hidden="false" customHeight="true" outlineLevel="0" collapsed="false">
      <c r="A10" s="18" t="s">
        <v>47</v>
      </c>
      <c r="B10" s="45" t="s">
        <v>212</v>
      </c>
      <c r="C10" s="47" t="s">
        <v>205</v>
      </c>
    </row>
    <row r="11" customFormat="false" ht="25.5" hidden="false" customHeight="true" outlineLevel="0" collapsed="false">
      <c r="A11" s="18" t="s">
        <v>48</v>
      </c>
      <c r="B11" s="45" t="s">
        <v>213</v>
      </c>
      <c r="C11" s="47" t="s">
        <v>205</v>
      </c>
    </row>
    <row r="12" customFormat="false" ht="25.5" hidden="false" customHeight="true" outlineLevel="0" collapsed="false">
      <c r="A12" s="18" t="s">
        <v>49</v>
      </c>
      <c r="B12" s="45" t="s">
        <v>214</v>
      </c>
      <c r="C12" s="47" t="s">
        <v>205</v>
      </c>
    </row>
    <row r="13" customFormat="false" ht="25.5" hidden="false" customHeight="true" outlineLevel="0" collapsed="false">
      <c r="A13" s="18" t="s">
        <v>50</v>
      </c>
      <c r="B13" s="45" t="s">
        <v>215</v>
      </c>
      <c r="C13" s="47" t="s">
        <v>205</v>
      </c>
    </row>
    <row r="14" customFormat="false" ht="25.5" hidden="false" customHeight="true" outlineLevel="0" collapsed="false">
      <c r="A14" s="18" t="s">
        <v>105</v>
      </c>
      <c r="B14" s="45" t="s">
        <v>216</v>
      </c>
      <c r="C14" s="47" t="s">
        <v>217</v>
      </c>
    </row>
    <row r="15" customFormat="false" ht="25.5" hidden="false" customHeight="true" outlineLevel="0" collapsed="false">
      <c r="A15" s="18" t="s">
        <v>51</v>
      </c>
      <c r="B15" s="45" t="s">
        <v>218</v>
      </c>
      <c r="C15" s="47" t="s">
        <v>205</v>
      </c>
    </row>
    <row r="16" customFormat="false" ht="25.5" hidden="false" customHeight="true" outlineLevel="0" collapsed="false">
      <c r="A16" s="18" t="s">
        <v>52</v>
      </c>
      <c r="B16" s="45" t="s">
        <v>219</v>
      </c>
      <c r="C16" s="47" t="s">
        <v>205</v>
      </c>
    </row>
    <row r="17" customFormat="false" ht="25.5" hidden="false" customHeight="true" outlineLevel="0" collapsed="false">
      <c r="A17" s="18" t="s">
        <v>132</v>
      </c>
      <c r="B17" s="45" t="s">
        <v>220</v>
      </c>
      <c r="C17" s="47" t="s">
        <v>221</v>
      </c>
    </row>
    <row r="18" customFormat="false" ht="25.5" hidden="false" customHeight="true" outlineLevel="0" collapsed="false">
      <c r="A18" s="18" t="s">
        <v>222</v>
      </c>
      <c r="B18" s="45" t="s">
        <v>223</v>
      </c>
      <c r="C18" s="47" t="s">
        <v>210</v>
      </c>
    </row>
    <row r="19" customFormat="false" ht="25.5" hidden="false" customHeight="true" outlineLevel="0" collapsed="false">
      <c r="A19" s="18" t="s">
        <v>161</v>
      </c>
      <c r="B19" s="45" t="s">
        <v>224</v>
      </c>
      <c r="C19" s="47" t="s">
        <v>210</v>
      </c>
    </row>
    <row r="20" customFormat="false" ht="25.5" hidden="false" customHeight="true" outlineLevel="0" collapsed="false">
      <c r="A20" s="18" t="s">
        <v>225</v>
      </c>
      <c r="B20" s="45" t="s">
        <v>226</v>
      </c>
      <c r="C20" s="47" t="s">
        <v>210</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8"/>
    <col collapsed="false" customWidth="true" hidden="false" outlineLevel="0" max="3" min="3" style="0" width="8"/>
    <col collapsed="false" customWidth="true" hidden="false" outlineLevel="0" max="4" min="4" style="0" width="58"/>
  </cols>
  <sheetData>
    <row r="1" customFormat="false" ht="30" hidden="false" customHeight="true" outlineLevel="0" collapsed="false">
      <c r="A1" s="1" t="s">
        <v>227</v>
      </c>
      <c r="B1" s="1"/>
      <c r="C1" s="1"/>
      <c r="D1" s="1"/>
    </row>
    <row r="2" customFormat="false" ht="18" hidden="false" customHeight="true" outlineLevel="0" collapsed="false">
      <c r="A2" s="2" t="s">
        <v>228</v>
      </c>
      <c r="B2" s="2"/>
      <c r="C2" s="2"/>
      <c r="D2" s="2"/>
    </row>
    <row r="4" customFormat="false" ht="27.75" hidden="false" customHeight="true" outlineLevel="0" collapsed="false">
      <c r="A4" s="8" t="s">
        <v>229</v>
      </c>
      <c r="B4" s="8" t="s">
        <v>230</v>
      </c>
      <c r="C4" s="8" t="s">
        <v>231</v>
      </c>
      <c r="D4" s="8" t="s">
        <v>232</v>
      </c>
    </row>
    <row r="5" customFormat="false" ht="30" hidden="false" customHeight="true" outlineLevel="0" collapsed="false">
      <c r="A5" s="18" t="s">
        <v>233</v>
      </c>
      <c r="B5" s="47" t="s">
        <v>234</v>
      </c>
      <c r="C5" s="48" t="s">
        <v>231</v>
      </c>
      <c r="D5" s="45" t="s">
        <v>235</v>
      </c>
    </row>
    <row r="6" customFormat="false" ht="30" hidden="false" customHeight="true" outlineLevel="0" collapsed="false">
      <c r="A6" s="18" t="s">
        <v>236</v>
      </c>
      <c r="B6" s="47" t="s">
        <v>237</v>
      </c>
      <c r="C6" s="48" t="s">
        <v>231</v>
      </c>
      <c r="D6" s="45" t="s">
        <v>238</v>
      </c>
    </row>
    <row r="7" customFormat="false" ht="30" hidden="false" customHeight="true" outlineLevel="0" collapsed="false">
      <c r="A7" s="18" t="s">
        <v>239</v>
      </c>
      <c r="B7" s="47" t="s">
        <v>240</v>
      </c>
      <c r="C7" s="48" t="s">
        <v>231</v>
      </c>
      <c r="D7" s="45" t="s">
        <v>241</v>
      </c>
    </row>
    <row r="8" customFormat="false" ht="30" hidden="false" customHeight="true" outlineLevel="0" collapsed="false">
      <c r="A8" s="18" t="s">
        <v>242</v>
      </c>
      <c r="B8" s="47" t="s">
        <v>243</v>
      </c>
      <c r="C8" s="48" t="s">
        <v>231</v>
      </c>
      <c r="D8" s="45" t="s">
        <v>244</v>
      </c>
    </row>
    <row r="9" customFormat="false" ht="30" hidden="false" customHeight="true" outlineLevel="0" collapsed="false">
      <c r="A9" s="18" t="s">
        <v>245</v>
      </c>
      <c r="B9" s="47" t="s">
        <v>246</v>
      </c>
      <c r="C9" s="48" t="s">
        <v>231</v>
      </c>
      <c r="D9" s="45" t="s">
        <v>247</v>
      </c>
    </row>
  </sheetData>
  <mergeCells count="2">
    <mergeCell ref="A1:D1"/>
    <mergeCell ref="A2:D2"/>
  </mergeCells>
  <hyperlinks>
    <hyperlink ref="C5" r:id="rId1" display="Open"/>
    <hyperlink ref="C6" r:id="rId2" display="Open"/>
    <hyperlink ref="C7" r:id="rId3" display="Open"/>
    <hyperlink ref="C8" r:id="rId4" display="Open"/>
    <hyperlink ref="C9" r:id="rId5" display="Op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2026-06-25T10:12:30Z</dcterms:created>
  <dc:creator>openpyxl</dc:creator>
  <dc:description/>
  <dc:language>en-US</dc:language>
  <cp:lastModifiedBy/>
  <dcterms:modified xsi:type="dcterms:W3CDTF">2026-06-25T10:12:30Z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