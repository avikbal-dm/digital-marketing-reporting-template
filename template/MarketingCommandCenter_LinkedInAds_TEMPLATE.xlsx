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11.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vmlDrawing5.vml" ContentType="application/vnd.openxmlformats-officedocument.vmlDrawing"/>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6.xml" ContentType="application/vnd.openxmlformats-officedocument.spreadsheetml.comments+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Guide" sheetId="1" state="visible" r:id="rId3"/>
    <sheet name="Instructions &amp; Prompts" sheetId="2" state="visible" r:id="rId4"/>
    <sheet name="Account Summary" sheetId="3" state="visible" r:id="rId5"/>
    <sheet name="Executive Summary" sheetId="4" state="visible" r:id="rId6"/>
    <sheet name="Month-on-Month" sheetId="5" state="visible" r:id="rId7"/>
    <sheet name="By Campaign" sheetId="6" state="visible" r:id="rId8"/>
    <sheet name="By Campaign Group" sheetId="7" state="visible" r:id="rId9"/>
    <sheet name="By Objective" sheetId="8" state="visible" r:id="rId10"/>
    <sheet name="Engagement" sheetId="9" state="visible" r:id="rId11"/>
    <sheet name="Budget Pacing" sheetId="10" state="visible" r:id="rId12"/>
    <sheet name="Flags &amp; Fixes" sheetId="11" state="visible" r:id="rId13"/>
    <sheet name="Definitions" sheetId="12" state="visible" r:id="rId14"/>
    <sheet name="Sources" sheetId="13" state="visible" r:id="rId15"/>
  </sheets>
  <definedNames>
    <definedName function="false" hidden="true" localSheetId="2" name="_xlnm._FilterDatabase" vbProcedure="false">'Account Summary'!$A$4:$L$28</definedName>
    <definedName function="false" hidden="true" localSheetId="5" name="_xlnm._FilterDatabase" vbProcedure="false">'By Campaign'!$A$4:$N$9</definedName>
    <definedName function="false" hidden="true" localSheetId="6" name="_xlnm._FilterDatabase" vbProcedure="false">'By Campaign Group'!$A$4:$I$8</definedName>
    <definedName function="false" hidden="true" localSheetId="7" name="_xlnm._FilterDatabase" vbProcedure="false">'By Objective'!$A$4:$I$9</definedName>
    <definedName function="false" hidden="true" localSheetId="8" name="_xlnm._FilterDatabase" vbProcedure="false">Engagement!$A$4:$I$8</definedName>
    <definedName function="false" hidden="true" localSheetId="10" name="_xlnm._FilterDatabase" vbProcedure="false">'Flags &amp; Fixes'!$A$4:$E$10</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Total amount spent on LinkedIn Ads in the period, in your account currency.</t>
        </r>
      </text>
    </comment>
    <comment ref="C4" authorId="0">
      <text>
        <r>
          <rPr>
            <sz val="10"/>
            <rFont val="Arial"/>
            <family val="2"/>
          </rPr>
          <t xml:space="preserve">How often your ads were shown. LinkedIn counts sends for Message ads.</t>
        </r>
      </text>
    </comment>
    <comment ref="D4" authorId="0">
      <text>
        <r>
          <rPr>
            <sz val="10"/>
            <rFont val="Arial"/>
            <family val="2"/>
          </rPr>
          <t xml:space="preserve">Total clicks, including social actions and landing-page clicks.</t>
        </r>
      </text>
    </comment>
    <comment ref="E4" authorId="0">
      <text>
        <r>
          <rPr>
            <sz val="10"/>
            <rFont val="Arial"/>
            <family val="2"/>
          </rPr>
          <t xml:space="preserve">Click-through rate. Clicks divided by impressions. LinkedIn benchmarks run lower than search.</t>
        </r>
      </text>
    </comment>
    <comment ref="F4" authorId="0">
      <text>
        <r>
          <rPr>
            <sz val="10"/>
            <rFont val="Arial"/>
            <family val="2"/>
          </rPr>
          <t xml:space="preserve">Average cost per click. Spend divided by clicks.</t>
        </r>
      </text>
    </comment>
    <comment ref="G4" authorId="0">
      <text>
        <r>
          <rPr>
            <sz val="10"/>
            <rFont val="Arial"/>
            <family val="2"/>
          </rPr>
          <t xml:space="preserve">Cost per thousand impressions. Spend divided by impressions times 1000.</t>
        </r>
      </text>
    </comment>
    <comment ref="H4" authorId="0">
      <text>
        <r>
          <rPr>
            <sz val="10"/>
            <rFont val="Arial"/>
            <family val="2"/>
          </rPr>
          <t xml:space="preserve">Lead-gen form leads. The connector does not expose these, so type them from LinkedIn Campaign Manager or your CRM.</t>
        </r>
      </text>
    </comment>
    <comment ref="I4" authorId="0">
      <text>
        <r>
          <rPr>
            <sz val="10"/>
            <rFont val="Arial"/>
            <family val="2"/>
          </rPr>
          <t xml:space="preserve">Spend divided by leads. The number your CFO cares about on LinkedIn.</t>
        </r>
      </text>
    </comment>
    <comment ref="J4" authorId="0">
      <text>
        <r>
          <rPr>
            <sz val="10"/>
            <rFont val="Arial"/>
            <family val="2"/>
          </rPr>
          <t xml:space="preserve">Leads divided by clicks. How well clicks turn into leads.</t>
        </r>
      </text>
    </comment>
    <comment ref="K4" authorId="0">
      <text>
        <r>
          <rPr>
            <sz val="10"/>
            <rFont val="Arial"/>
            <family val="2"/>
          </rPr>
          <t xml:space="preserve">Paid and free clicks plus social actions, divided by impressions.</t>
        </r>
      </text>
    </comment>
    <comment ref="L4" authorId="0">
      <text>
        <r>
          <rPr>
            <sz val="10"/>
            <rFont val="Arial"/>
            <family val="2"/>
          </rPr>
          <t xml:space="preserve">Website conversions LinkedIn attributes after a click or view. Separate from lead-gen form leads.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C4" authorId="0">
      <text>
        <r>
          <rPr>
            <sz val="10"/>
            <rFont val="Arial"/>
            <family val="2"/>
          </rPr>
          <t xml:space="preserve">The grouping used to organize campaigns by theme, funnel stage, or audience.</t>
        </r>
      </text>
    </comment>
    <comment ref="D4" authorId="0">
      <text>
        <r>
          <rPr>
            <sz val="10"/>
            <rFont val="Arial"/>
            <family val="2"/>
          </rPr>
          <t xml:space="preserve">The campaign objective: Lead Generation, Website Visits, Engagement, Brand Awareness, Video Views.</t>
        </r>
      </text>
    </comment>
    <comment ref="E4" authorId="0">
      <text>
        <r>
          <rPr>
            <sz val="10"/>
            <rFont val="Arial"/>
            <family val="2"/>
          </rPr>
          <t xml:space="preserve">How often your ads were shown. LinkedIn counts sends for Message ads.</t>
        </r>
      </text>
    </comment>
    <comment ref="F4" authorId="0">
      <text>
        <r>
          <rPr>
            <sz val="10"/>
            <rFont val="Arial"/>
            <family val="2"/>
          </rPr>
          <t xml:space="preserve">Total clicks, including social actions and landing-page clicks.</t>
        </r>
      </text>
    </comment>
    <comment ref="G4" authorId="0">
      <text>
        <r>
          <rPr>
            <sz val="10"/>
            <rFont val="Arial"/>
            <family val="2"/>
          </rPr>
          <t xml:space="preserve">Click-through rate. Clicks divided by impressions. LinkedIn benchmarks run lower than search.</t>
        </r>
      </text>
    </comment>
    <comment ref="H4" authorId="0">
      <text>
        <r>
          <rPr>
            <sz val="10"/>
            <rFont val="Arial"/>
            <family val="2"/>
          </rPr>
          <t xml:space="preserve">Average cost per click. Spend divided by clicks.</t>
        </r>
      </text>
    </comment>
    <comment ref="I4" authorId="0">
      <text>
        <r>
          <rPr>
            <sz val="10"/>
            <rFont val="Arial"/>
            <family val="2"/>
          </rPr>
          <t xml:space="preserve">Total amount spent on LinkedIn Ads in the period, in your account currency.</t>
        </r>
      </text>
    </comment>
    <comment ref="J4" authorId="0">
      <text>
        <r>
          <rPr>
            <sz val="10"/>
            <rFont val="Arial"/>
            <family val="2"/>
          </rPr>
          <t xml:space="preserve">Lead-gen form leads. The connector does not expose these, so type them from LinkedIn Campaign Manager or your CRM.</t>
        </r>
      </text>
    </comment>
    <comment ref="K4" authorId="0">
      <text>
        <r>
          <rPr>
            <sz val="10"/>
            <rFont val="Arial"/>
            <family val="2"/>
          </rPr>
          <t xml:space="preserve">Spend divided by leads. The number your CFO cares about on LinkedIn.</t>
        </r>
      </text>
    </comment>
    <comment ref="L4" authorId="0">
      <text>
        <r>
          <rPr>
            <sz val="10"/>
            <rFont val="Arial"/>
            <family val="2"/>
          </rPr>
          <t xml:space="preserve">Leads divided by clicks. How well clicks turn into leads.</t>
        </r>
      </text>
    </comment>
    <comment ref="M4" authorId="0">
      <text>
        <r>
          <rPr>
            <sz val="10"/>
            <rFont val="Arial"/>
            <family val="2"/>
          </rPr>
          <t xml:space="preserve">Paid and free clicks plus social actions, divided by impressions.</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The grouping used to organize campaigns by theme, funnel stage, or audience.</t>
        </r>
      </text>
    </comment>
    <comment ref="B4" authorId="0">
      <text>
        <r>
          <rPr>
            <sz val="10"/>
            <rFont val="Arial"/>
            <family val="2"/>
          </rPr>
          <t xml:space="preserve">How often your ads were shown. LinkedIn counts sends for Message ads.</t>
        </r>
      </text>
    </comment>
    <comment ref="C4" authorId="0">
      <text>
        <r>
          <rPr>
            <sz val="10"/>
            <rFont val="Arial"/>
            <family val="2"/>
          </rPr>
          <t xml:space="preserve">Total clicks, including social actions and landing-page clicks.</t>
        </r>
      </text>
    </comment>
    <comment ref="D4" authorId="0">
      <text>
        <r>
          <rPr>
            <sz val="10"/>
            <rFont val="Arial"/>
            <family val="2"/>
          </rPr>
          <t xml:space="preserve">Click-through rate. Clicks divided by impressions. LinkedIn benchmarks run lower than search.</t>
        </r>
      </text>
    </comment>
    <comment ref="E4" authorId="0">
      <text>
        <r>
          <rPr>
            <sz val="10"/>
            <rFont val="Arial"/>
            <family val="2"/>
          </rPr>
          <t xml:space="preserve">Total amount spent on LinkedIn Ads in the period, in your account currency.</t>
        </r>
      </text>
    </comment>
    <comment ref="F4" authorId="0">
      <text>
        <r>
          <rPr>
            <sz val="10"/>
            <rFont val="Arial"/>
            <family val="2"/>
          </rPr>
          <t xml:space="preserve">Lead-gen form leads. The connector does not expose these, so type them from LinkedIn Campaign Manager or your CRM.</t>
        </r>
      </text>
    </comment>
    <comment ref="G4" authorId="0">
      <text>
        <r>
          <rPr>
            <sz val="10"/>
            <rFont val="Arial"/>
            <family val="2"/>
          </rPr>
          <t xml:space="preserve">Spend divided by leads. The number your CFO cares about on LinkedIn.</t>
        </r>
      </text>
    </comment>
    <comment ref="H4" authorId="0">
      <text>
        <r>
          <rPr>
            <sz val="10"/>
            <rFont val="Arial"/>
            <family val="2"/>
          </rPr>
          <t xml:space="preserve">Leads divided by clicks. How well clicks turn into leads.</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The campaign objective: Lead Generation, Website Visits, Engagement, Brand Awareness, Video Views.</t>
        </r>
      </text>
    </comment>
    <comment ref="B4" authorId="0">
      <text>
        <r>
          <rPr>
            <sz val="10"/>
            <rFont val="Arial"/>
            <family val="2"/>
          </rPr>
          <t xml:space="preserve">How often your ads were shown. LinkedIn counts sends for Message ads.</t>
        </r>
      </text>
    </comment>
    <comment ref="C4" authorId="0">
      <text>
        <r>
          <rPr>
            <sz val="10"/>
            <rFont val="Arial"/>
            <family val="2"/>
          </rPr>
          <t xml:space="preserve">Total clicks, including social actions and landing-page clicks.</t>
        </r>
      </text>
    </comment>
    <comment ref="D4" authorId="0">
      <text>
        <r>
          <rPr>
            <sz val="10"/>
            <rFont val="Arial"/>
            <family val="2"/>
          </rPr>
          <t xml:space="preserve">Click-through rate. Clicks divided by impressions. LinkedIn benchmarks run lower than search.</t>
        </r>
      </text>
    </comment>
    <comment ref="E4" authorId="0">
      <text>
        <r>
          <rPr>
            <sz val="10"/>
            <rFont val="Arial"/>
            <family val="2"/>
          </rPr>
          <t xml:space="preserve">Total amount spent on LinkedIn Ads in the period, in your account currency.</t>
        </r>
      </text>
    </comment>
    <comment ref="F4" authorId="0">
      <text>
        <r>
          <rPr>
            <sz val="10"/>
            <rFont val="Arial"/>
            <family val="2"/>
          </rPr>
          <t xml:space="preserve">Lead-gen form leads. The connector does not expose these, so type them from LinkedIn Campaign Manager or your CRM.</t>
        </r>
      </text>
    </comment>
    <comment ref="G4" authorId="0">
      <text>
        <r>
          <rPr>
            <sz val="10"/>
            <rFont val="Arial"/>
            <family val="2"/>
          </rPr>
          <t xml:space="preserve">Spend divided by leads. The number your CFO cares about on LinkedIn.</t>
        </r>
      </text>
    </comment>
    <comment ref="H4" authorId="0">
      <text>
        <r>
          <rPr>
            <sz val="10"/>
            <rFont val="Arial"/>
            <family val="2"/>
          </rPr>
          <t xml:space="preserve">Paid and free clicks plus social actions, divided by impressions.</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How often your ads were shown. LinkedIn counts sends for Message ads.</t>
        </r>
      </text>
    </comment>
    <comment ref="I4" authorId="0">
      <text>
        <r>
          <rPr>
            <sz val="10"/>
            <rFont val="Arial"/>
            <family val="2"/>
          </rPr>
          <t xml:space="preserve">Paid and free clicks plus social actions, divided by impressions.</t>
        </r>
      </text>
    </comment>
  </commentList>
</comments>
</file>

<file path=xl/sharedStrings.xml><?xml version="1.0" encoding="utf-8"?>
<sst xmlns="http://schemas.openxmlformats.org/spreadsheetml/2006/main" count="328" uniqueCount="210">
  <si>
    <t xml:space="preserve">LinkedIn Ads Reporting Template</t>
  </si>
  <si>
    <t xml:space="preserve">Dedicated LinkedIn Ads report. Green-themed, formula-driven, plug-and-play. Fill one tab a month, or let Claude pull it. Full steps and prompts are on the Instructions &amp; Prompts tab.</t>
  </si>
  <si>
    <t xml:space="preserve">How this works</t>
  </si>
  <si>
    <t xml:space="preserve">Account Summary is your single source of truth. Fill one row per month. The Executive Summary and Month-on-Month tabs read from it and recompute on their own.</t>
  </si>
  <si>
    <t xml:space="preserve">Blue cells are where you type. Grey cells are formulas. Leave the formulas alone.</t>
  </si>
  <si>
    <t xml:space="preserve">Percentages are stored as values. 0.5% is held as 0.005.</t>
  </si>
  <si>
    <t xml:space="preserve">Leads need a manual step</t>
  </si>
  <si>
    <t xml:space="preserve">LinkedIn lead-gen form leads are not available through the data connector. Pull them from Campaign Manager (the Leads column, or Account Assets, Lead Gen Forms) or your CRM, and type them into the blue Leads column.</t>
  </si>
  <si>
    <t xml:space="preserve">Tabs</t>
  </si>
  <si>
    <t xml:space="preserve">Instructions &amp; Prompts, Account Summary, Executive Summary, Month-on-Month, By Campaign, By Campaign Group, By Objective, Engagement, Budget Pacing, Flags &amp; Fixes, Definitions, Sources.</t>
  </si>
  <si>
    <t xml:space="preserve">Start on the Instructions &amp; Prompts tab. It has the full steps and the Claude prompts for every tab.</t>
  </si>
  <si>
    <t xml:space="preserve">Instructions &amp; Prompts</t>
  </si>
  <si>
    <t xml:space="preserve">Everything you need to fill this workbook, including the exact prompts to paste into Claude. No external docs needed.</t>
  </si>
  <si>
    <t xml:space="preserve">How this workbook works</t>
  </si>
  <si>
    <t xml:space="preserve">Account Summary is the single source of truth. Fill one row per month and the Executive Summary, Month-on-Month, and the rest read from it. Blue cells are inputs. Grey cells are formulas. Percentages are stored as values, so 0.5% is 0.005.</t>
  </si>
  <si>
    <t xml:space="preserve">The fast way: let Claude pull the data</t>
  </si>
  <si>
    <t xml:space="preserve">LinkedIn Ads connects to Claude through the Windsor.ai connector. Turn it on in Claude, confirm your account, then paste the prompts below one at a time. Replace &lt;LINKEDIN-ADS-ID&gt; with your account ID the first time.</t>
  </si>
  <si>
    <t xml:space="preserve">Step 1. Connect and confirm</t>
  </si>
  <si>
    <t xml:space="preserve">Using the Windsor.ai connector, list my connected accounts and show me my LinkedIn Ads account ID.</t>
  </si>
  <si>
    <t xml:space="preserve">Step 2. Account Summary (fill this first)</t>
  </si>
  <si>
    <t xml:space="preserve">From LinkedIn Ads &lt;LINKEDIN-ADS-ID&gt;, give me spend, impressions, clicks, and engagement rate by month for the last 12 months. Lay it out as one row per month for the Account Summary tab. I will add lead-gen form leads myself.</t>
  </si>
  <si>
    <t xml:space="preserve">Step 3. By Campaign</t>
  </si>
  <si>
    <t xml:space="preserve">From LinkedIn Ads &lt;LINKEDIN-ADS-ID&gt;, one row per campaign per month for the last 6 months: campaign group name, objective type, impressions, clicks, spend, conversions, engagement rate.</t>
  </si>
  <si>
    <t xml:space="preserve">Step 4. By Campaign Group</t>
  </si>
  <si>
    <t xml:space="preserve">From LinkedIn Ads &lt;LINKEDIN-ADS-ID&gt;, group spend, impressions, clicks, and conversions by campaign group for the latest month.</t>
  </si>
  <si>
    <t xml:space="preserve">Step 5. By Objective</t>
  </si>
  <si>
    <t xml:space="preserve">From LinkedIn Ads &lt;LINKEDIN-ADS-ID&gt;, group spend, impressions, clicks, conversions, and engagement rate by objective type for the latest month.</t>
  </si>
  <si>
    <t xml:space="preserve">Step 6. Engagement</t>
  </si>
  <si>
    <t xml:space="preserve">From LinkedIn Ads &lt;LINKEDIN-ADS-ID&gt;, by campaign for the latest month: impressions, reactions, comments, shares, follows, video views, and total engagements.</t>
  </si>
  <si>
    <t xml:space="preserve">Step 7. Write it into the workbook</t>
  </si>
  <si>
    <t xml:space="preserve">Write all of this into my LinkedIn Ads workbook, filling the blue input cells on each tab. Keep every formula and the formatting intact. Do not change the structure.</t>
  </si>
  <si>
    <t xml:space="preserve">The manual step you cannot skip: Leads</t>
  </si>
  <si>
    <t xml:space="preserve">LinkedIn lead-gen form leads are not exposed by the data connector. Open Campaign Manager, use the Leads column in your campaign report (or Account Assets, then Lead Gen Forms), or pull leads from your CRM, and type them into the blue Leads column on Account Summary and By Campaign. Cost per lead and lead rate then calculate on their own.</t>
  </si>
  <si>
    <t xml:space="preserve">Monthly refresh</t>
  </si>
  <si>
    <t xml:space="preserve">When a month closes, add one row to Account Summary, paste your lead count, and refresh the deep-dive tabs you care about with the prompts above. Then open Executive Summary and pick the new month from the dropdown.</t>
  </si>
  <si>
    <t xml:space="preserve">Reading the numbers</t>
  </si>
  <si>
    <t xml:space="preserve">LinkedIn is a premium channel: high CPM and CPC are normal, so judge it on cost per lead and lead quality, not CPC. Watch frequency and creative fatigue, keep audiences above a few hundred thousand, and make sure your lead forms are short. The Flags &amp; Fixes tab lists the usual problems and the fix for each.</t>
  </si>
  <si>
    <t xml:space="preserve">Account Summary</t>
  </si>
  <si>
    <t xml:space="preserve">One row per month. Blue cells are inputs (Leads come from Campaign Manager or your CRM). CTR, CPC, CPM, cost per lead, and lead rate are formulas. This tab feeds the Executive Summary and Month-on-Month.</t>
  </si>
  <si>
    <t xml:space="preserve">Month</t>
  </si>
  <si>
    <t xml:space="preserve">Spend</t>
  </si>
  <si>
    <t xml:space="preserve">Impressions</t>
  </si>
  <si>
    <t xml:space="preserve">Clicks</t>
  </si>
  <si>
    <t xml:space="preserve">CTR</t>
  </si>
  <si>
    <t xml:space="preserve">Avg CPC</t>
  </si>
  <si>
    <t xml:space="preserve">CPM</t>
  </si>
  <si>
    <t xml:space="preserve">Leads</t>
  </si>
  <si>
    <t xml:space="preserve">Cost / Lead</t>
  </si>
  <si>
    <t xml:space="preserve">Lead Rate</t>
  </si>
  <si>
    <t xml:space="preserve">Engagement Rate</t>
  </si>
  <si>
    <t xml:space="preserve">Conversions</t>
  </si>
  <si>
    <t xml:space="preserve">Month 1</t>
  </si>
  <si>
    <t xml:space="preserve">Month 2</t>
  </si>
  <si>
    <t xml:space="preserve">Month 3</t>
  </si>
  <si>
    <t xml:space="preserve">Month 4</t>
  </si>
  <si>
    <t xml:space="preserve">Month 5</t>
  </si>
  <si>
    <t xml:space="preserve">Month 6</t>
  </si>
  <si>
    <t xml:space="preserve">Month 7</t>
  </si>
  <si>
    <t xml:space="preserve">Month 8</t>
  </si>
  <si>
    <t xml:space="preserve">Month 9</t>
  </si>
  <si>
    <t xml:space="preserve">Month 10</t>
  </si>
  <si>
    <t xml:space="preserve">Month 11</t>
  </si>
  <si>
    <t xml:space="preserve">Month 12</t>
  </si>
  <si>
    <t xml:space="preserve">Month 13</t>
  </si>
  <si>
    <t xml:space="preserve">Month 14</t>
  </si>
  <si>
    <t xml:space="preserve">Month 15</t>
  </si>
  <si>
    <t xml:space="preserve">Month 16</t>
  </si>
  <si>
    <t xml:space="preserve">Month 17</t>
  </si>
  <si>
    <t xml:space="preserve">Month 18</t>
  </si>
  <si>
    <t xml:space="preserve">Month 19</t>
  </si>
  <si>
    <t xml:space="preserve">Month 20</t>
  </si>
  <si>
    <t xml:space="preserve">Month 21</t>
  </si>
  <si>
    <t xml:space="preserve">Month 22</t>
  </si>
  <si>
    <t xml:space="preserve">Month 23</t>
  </si>
  <si>
    <t xml:space="preserve">Month 24</t>
  </si>
  <si>
    <t xml:space="preserve">Fill the blue cells each month, including Leads from Campaign Manager. LinkedIn runs expensive, so the metric that matters is cost per lead, not CPC. If cost per lead climbs, look at audience size, creative fatigue, and lead-form length before adding budget.</t>
  </si>
  <si>
    <t xml:space="preserve">Executive Summary</t>
  </si>
  <si>
    <t xml:space="preserve">Pick a month. The cards show that month versus the one before it. Everything reads from Account Summary.</t>
  </si>
  <si>
    <t xml:space="preserve">Pick a month:</t>
  </si>
  <si>
    <t xml:space="preserve">Metric</t>
  </si>
  <si>
    <t xml:space="preserve">Selected month</t>
  </si>
  <si>
    <t xml:space="preserve">Prior month</t>
  </si>
  <si>
    <t xml:space="preserve">Change</t>
  </si>
  <si>
    <t xml:space="preserve">Read it lead-first. Spend up is fine if leads keep pace and cost per lead holds. If CPM or CPC jump while leads stay flat, your audience or creative is tiring. Rate metrics show the change in percentage points.</t>
  </si>
  <si>
    <t xml:space="preserve">Month-on-Month</t>
  </si>
  <si>
    <t xml:space="preserve">Each metric shows the month's actual value and the change versus the prior month. Volume metrics change in %, rate metrics in percentage points. Blank rows are months not filled yet.</t>
  </si>
  <si>
    <t xml:space="preserve">This month</t>
  </si>
  <si>
    <t xml:space="preserve">vs prev</t>
  </si>
  <si>
    <t xml:space="preserve">vs prev (pp)</t>
  </si>
  <si>
    <t xml:space="preserve">Note: green is up, red is down on the change columns. For Avg CPC and Cost / Lead, down is the good direction even though it prints red. Empty rows are months you have not filled yet.</t>
  </si>
  <si>
    <t xml:space="preserve">By Campaign</t>
  </si>
  <si>
    <t xml:space="preserve">One row per campaign per month. Blue cells are inputs (Leads from Campaign Manager). CTR, CPC, cost per lead, and lead rate are formulas. The Flag warns when spend earns no leads.</t>
  </si>
  <si>
    <t xml:space="preserve">Campaign</t>
  </si>
  <si>
    <t xml:space="preserve">Campaign Group</t>
  </si>
  <si>
    <t xml:space="preserve">Objective</t>
  </si>
  <si>
    <t xml:space="preserve">Flag</t>
  </si>
  <si>
    <t xml:space="preserve">Lead Gen - Product A</t>
  </si>
  <si>
    <t xml:space="preserve">Group 1</t>
  </si>
  <si>
    <t xml:space="preserve">Lead Generation</t>
  </si>
  <si>
    <t xml:space="preserve">Website Visits - Product B</t>
  </si>
  <si>
    <t xml:space="preserve">Group 2</t>
  </si>
  <si>
    <t xml:space="preserve">Website Visits</t>
  </si>
  <si>
    <t xml:space="preserve">Engagement - Thought Leadership</t>
  </si>
  <si>
    <t xml:space="preserve">Brand</t>
  </si>
  <si>
    <t xml:space="preserve">Engagement</t>
  </si>
  <si>
    <t xml:space="preserve">Video - Brand Story</t>
  </si>
  <si>
    <t xml:space="preserve">Video Views</t>
  </si>
  <si>
    <t xml:space="preserve">Lead Gen - Product C</t>
  </si>
  <si>
    <t xml:space="preserve">Group 3</t>
  </si>
  <si>
    <t xml:space="preserve">Sort by Spend, then by Cost per Lead. A campaign with real spend and zero leads is flagged red: most often the offer or the lead form is the problem, not the audience. Engagement and Video campaigns will show few leads by design, so judge them on engagement rate and reach.</t>
  </si>
  <si>
    <t xml:space="preserve">By Campaign Group</t>
  </si>
  <si>
    <t xml:space="preserve">Spend and leads grouped by campaign group. Blue cells are inputs. Rates and share of spend are formulas.</t>
  </si>
  <si>
    <t xml:space="preserve">Share of Spend</t>
  </si>
  <si>
    <t xml:space="preserve">Campaign groups are how you compare funnel stages or audiences fairly. Bottom-funnel lead-gen groups should carry most of the leads; brand and engagement groups carry reach. Move budget toward the groups with the lowest cost per lead.</t>
  </si>
  <si>
    <t xml:space="preserve">By Objective</t>
  </si>
  <si>
    <t xml:space="preserve">Performance grouped by campaign objective. Blue cells are inputs. Rates and share of spend are formulas.</t>
  </si>
  <si>
    <t xml:space="preserve">Brand Awareness</t>
  </si>
  <si>
    <t xml:space="preserve">Objective decides what LinkedIn optimizes for, so never compare a Brand Awareness campaign to a Lead Generation one on cost per lead. Use this tab to check that your spend mix matches your goal: if leads are the goal, most spend should sit in Lead Generation.</t>
  </si>
  <si>
    <t xml:space="preserve">Social actions per campaign for the latest month. Blue cells are inputs. Engagement rate is a formula.</t>
  </si>
  <si>
    <t xml:space="preserve">Reactions</t>
  </si>
  <si>
    <t xml:space="preserve">Comments</t>
  </si>
  <si>
    <t xml:space="preserve">Shares</t>
  </si>
  <si>
    <t xml:space="preserve">Follows</t>
  </si>
  <si>
    <t xml:space="preserve">Total Engagements</t>
  </si>
  <si>
    <t xml:space="preserve">Engagement is the early read on creative. Strong reactions and shares with weak leads usually means the hook works but the offer or form does not. Follows are a quiet win: paid campaigns that grow your page pay off long after the budget stops.</t>
  </si>
  <si>
    <t xml:space="preserve">Budget Pacing</t>
  </si>
  <si>
    <t xml:space="preserve">Are you on track to spend your budget this month. Fill the blue cells. Projection and pace are formulas.</t>
  </si>
  <si>
    <t xml:space="preserve">Campaign / Account</t>
  </si>
  <si>
    <t xml:space="preserve">Monthly Budget</t>
  </si>
  <si>
    <t xml:space="preserve">Days in Month</t>
  </si>
  <si>
    <t xml:space="preserve">Days Elapsed</t>
  </si>
  <si>
    <t xml:space="preserve">Spend to Date</t>
  </si>
  <si>
    <t xml:space="preserve">Expected to Date</t>
  </si>
  <si>
    <t xml:space="preserve">Projected Month-End</t>
  </si>
  <si>
    <t xml:space="preserve">Pace vs Budget</t>
  </si>
  <si>
    <t xml:space="preserve">Status</t>
  </si>
  <si>
    <t xml:space="preserve">Account total</t>
  </si>
  <si>
    <t xml:space="preserve">LinkedIn underspends quietly when audiences are too narrow or bids too low. Under means it cannot find your people at your bid, not that you saved money. Widen the audience or raise the bid before the month runs out.</t>
  </si>
  <si>
    <t xml:space="preserve">Flags &amp; Fixes</t>
  </si>
  <si>
    <t xml:space="preserve">The LinkedIn Ads issues worth checking every month, what each means, and the fix. Replace the sample notes with what you find.</t>
  </si>
  <si>
    <t xml:space="preserve">Priority</t>
  </si>
  <si>
    <t xml:space="preserve">What it means</t>
  </si>
  <si>
    <t xml:space="preserve">Where to check</t>
  </si>
  <si>
    <t xml:space="preserve">Fix</t>
  </si>
  <si>
    <t xml:space="preserve">High</t>
  </si>
  <si>
    <t xml:space="preserve">Spend with no leads</t>
  </si>
  <si>
    <t xml:space="preserve">Budget going out with no lead-gen forms completed.</t>
  </si>
  <si>
    <t xml:space="preserve">By Campaign (red flag)</t>
  </si>
  <si>
    <t xml:space="preserve">Shorten the lead form, sharpen the offer, or switch a weak Website Visits campaign to a Lead Gen objective.</t>
  </si>
  <si>
    <t xml:space="preserve">Cost per lead too high</t>
  </si>
  <si>
    <t xml:space="preserve">You are paying more per lead than the lead is worth.</t>
  </si>
  <si>
    <t xml:space="preserve">Account Summary, By Campaign</t>
  </si>
  <si>
    <t xml:space="preserve">Tighten targeting, refresh creative, test a lighter form, and pause the worst campaigns.</t>
  </si>
  <si>
    <t xml:space="preserve">Medium</t>
  </si>
  <si>
    <t xml:space="preserve">Audience too narrow</t>
  </si>
  <si>
    <t xml:space="preserve">Reach is small and frequency climbs fast.</t>
  </si>
  <si>
    <t xml:space="preserve">By Campaign (impressions)</t>
  </si>
  <si>
    <t xml:space="preserve">Keep audiences above roughly 300k. Loosen one targeting layer at a time.</t>
  </si>
  <si>
    <t xml:space="preserve">Creative fatigue</t>
  </si>
  <si>
    <t xml:space="preserve">CTR and engagement fall as the same people see the ad again.</t>
  </si>
  <si>
    <t xml:space="preserve">Engagement, Month-on-Month</t>
  </si>
  <si>
    <t xml:space="preserve">Rotate new creative every few weeks. Cap frequency.</t>
  </si>
  <si>
    <t xml:space="preserve">Underspending</t>
  </si>
  <si>
    <t xml:space="preserve">LinkedIn cannot spend the budget at your bid.</t>
  </si>
  <si>
    <t xml:space="preserve">Budget Pacing (Under)</t>
  </si>
  <si>
    <t xml:space="preserve">Raise the bid or widen the audience. Check schedule and start dates.</t>
  </si>
  <si>
    <t xml:space="preserve">Low</t>
  </si>
  <si>
    <t xml:space="preserve">Objective mismatch</t>
  </si>
  <si>
    <t xml:space="preserve">Spend sits in the wrong objective for your goal.</t>
  </si>
  <si>
    <t xml:space="preserve">Move budget into Lead Generation if leads are the goal.</t>
  </si>
  <si>
    <t xml:space="preserve">Definitions</t>
  </si>
  <si>
    <t xml:space="preserve">Plain-language meaning of every metric in this workbook.</t>
  </si>
  <si>
    <t xml:space="preserve">Good direction</t>
  </si>
  <si>
    <t xml:space="preserve">Total amount spent on LinkedIn Ads in the period.</t>
  </si>
  <si>
    <t xml:space="preserve">Match to budget</t>
  </si>
  <si>
    <t xml:space="preserve">How often your ads were shown.</t>
  </si>
  <si>
    <t xml:space="preserve">Higher with intent</t>
  </si>
  <si>
    <t xml:space="preserve">Total clicks, including social actions and landing-page clicks.</t>
  </si>
  <si>
    <t xml:space="preserve">Higher</t>
  </si>
  <si>
    <t xml:space="preserve">Click-through rate. Clicks divided by impressions. LinkedIn runs lower than search.</t>
  </si>
  <si>
    <t xml:space="preserve">Average cost per click. Spend divided by clicks.</t>
  </si>
  <si>
    <t xml:space="preserve">Lower</t>
  </si>
  <si>
    <t xml:space="preserve">Cost per thousand impressions. LinkedIn runs high here.</t>
  </si>
  <si>
    <t xml:space="preserve">Lead-gen form leads. Filled by hand from Campaign Manager or your CRM.</t>
  </si>
  <si>
    <t xml:space="preserve">Spend divided by leads. The headline efficiency number.</t>
  </si>
  <si>
    <t xml:space="preserve">Leads divided by clicks.</t>
  </si>
  <si>
    <t xml:space="preserve">Clicks plus social actions divided by impressions.</t>
  </si>
  <si>
    <t xml:space="preserve">Website conversions LinkedIn attributes. Separate from lead-gen leads.</t>
  </si>
  <si>
    <t xml:space="preserve">What LinkedIn optimizes the campaign for.</t>
  </si>
  <si>
    <t xml:space="preserve">Match to goal</t>
  </si>
  <si>
    <t xml:space="preserve">Projected month-end spend divided by the monthly budget.</t>
  </si>
  <si>
    <t xml:space="preserve">Near 100%</t>
  </si>
  <si>
    <t xml:space="preserve">Sources</t>
  </si>
  <si>
    <t xml:space="preserve">Where the data comes from and how to pull it. Replace the placeholder account ID with yours.</t>
  </si>
  <si>
    <t xml:space="preserve">Source</t>
  </si>
  <si>
    <t xml:space="preserve">Account</t>
  </si>
  <si>
    <t xml:space="preserve">Open</t>
  </si>
  <si>
    <t xml:space="preserve">What you get</t>
  </si>
  <si>
    <t xml:space="preserve">LinkedIn Ads</t>
  </si>
  <si>
    <t xml:space="preserve">Account &lt;YOUR-LINKEDIN-ADS-ID&gt;</t>
  </si>
  <si>
    <t xml:space="preserve">Spend, impressions, clicks, CTR, CPC, CPM, conversions, engagement, by campaign, group, and objective</t>
  </si>
  <si>
    <t xml:space="preserve">LinkedIn lead-gen forms</t>
  </si>
  <si>
    <t xml:space="preserve">Campaign Manager, Account Assets</t>
  </si>
  <si>
    <t xml:space="preserve">Lead-gen form leads. Type these into the Leads column, the connector does not expose them</t>
  </si>
  <si>
    <t xml:space="preserve">Windsor.ai</t>
  </si>
  <si>
    <t xml:space="preserve">Connector that feeds Claude</t>
  </si>
  <si>
    <t xml:space="preserve">Pulls LinkedIn Ads metrics into this workbook through Claude</t>
  </si>
  <si>
    <t xml:space="preserve">Your CRM</t>
  </si>
  <si>
    <t xml:space="preserve">HubSpot, Salesforce, etc.</t>
  </si>
  <si>
    <t xml:space="preserve">Reconcile leads and lead quality against what LinkedIn reports</t>
  </si>
</sst>
</file>

<file path=xl/styles.xml><?xml version="1.0" encoding="utf-8"?>
<styleSheet xmlns="http://schemas.openxmlformats.org/spreadsheetml/2006/main">
  <numFmts count="12">
    <numFmt numFmtId="164" formatCode="General"/>
    <numFmt numFmtId="165" formatCode="\$#,##0"/>
    <numFmt numFmtId="166" formatCode="#,##0"/>
    <numFmt numFmtId="167" formatCode="0.00%"/>
    <numFmt numFmtId="168" formatCode="\$#,##0.00"/>
    <numFmt numFmtId="169" formatCode="0.0%"/>
    <numFmt numFmtId="170" formatCode="General"/>
    <numFmt numFmtId="171" formatCode="\+0.0%;\-0.0%;0.0%"/>
    <numFmt numFmtId="172" formatCode="\+0.00%;\-0.00%;0.00%"/>
    <numFmt numFmtId="173" formatCode="@"/>
    <numFmt numFmtId="174" formatCode="0"/>
    <numFmt numFmtId="175" formatCode="0%"/>
  </numFmts>
  <fonts count="25">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FFFFFF"/>
      <name val="Arial"/>
      <family val="0"/>
      <charset val="1"/>
    </font>
    <font>
      <b val="true"/>
      <sz val="12"/>
      <color rgb="FF00793C"/>
      <name val="Arial"/>
      <family val="0"/>
      <charset val="1"/>
    </font>
    <font>
      <sz val="10"/>
      <color rgb="FF1F2937"/>
      <name val="Arial"/>
      <family val="0"/>
      <charset val="1"/>
    </font>
    <font>
      <b val="true"/>
      <sz val="10"/>
      <color rgb="FF1F2937"/>
      <name val="Arial"/>
      <family val="0"/>
      <charset val="1"/>
    </font>
    <font>
      <b val="true"/>
      <sz val="12"/>
      <color rgb="FFFFFFFF"/>
      <name val="Arial"/>
      <family val="0"/>
      <charset val="1"/>
    </font>
    <font>
      <sz val="10"/>
      <color rgb="FF1F2937"/>
      <name val="Consolas"/>
      <family val="0"/>
      <charset val="1"/>
    </font>
    <font>
      <b val="true"/>
      <sz val="10"/>
      <color rgb="FFFFFFFF"/>
      <name val="Arial"/>
      <family val="0"/>
      <charset val="1"/>
    </font>
    <font>
      <sz val="10"/>
      <color rgb="FF0000FF"/>
      <name val="Arial"/>
      <family val="0"/>
      <charset val="1"/>
    </font>
    <font>
      <sz val="10"/>
      <color rgb="FF6B7280"/>
      <name val="Arial"/>
      <family val="0"/>
      <charset val="1"/>
    </font>
    <font>
      <sz val="9"/>
      <color rgb="FF00793C"/>
      <name val="Arial"/>
      <family val="0"/>
      <charset val="1"/>
    </font>
    <font>
      <sz val="10"/>
      <name val="Arial"/>
      <family val="2"/>
    </font>
    <font>
      <sz val="9"/>
      <color rgb="FFFFFFFF"/>
      <name val="Arial"/>
      <family val="0"/>
      <charset val="1"/>
    </font>
    <font>
      <b val="true"/>
      <sz val="9"/>
      <color rgb="FFFFFFFF"/>
      <name val="Arial"/>
      <family val="0"/>
      <charset val="1"/>
    </font>
    <font>
      <b val="true"/>
      <sz val="10"/>
      <color rgb="FF008000"/>
      <name val="Arial"/>
      <family val="0"/>
      <charset val="1"/>
    </font>
    <font>
      <i val="true"/>
      <sz val="9"/>
      <color rgb="FF6B7280"/>
      <name val="Arial"/>
      <family val="0"/>
      <charset val="1"/>
    </font>
    <font>
      <sz val="9"/>
      <color rgb="FFB7791F"/>
      <name val="Arial"/>
      <family val="0"/>
      <charset val="1"/>
    </font>
    <font>
      <b val="true"/>
      <sz val="10"/>
      <color rgb="FFC00000"/>
      <name val="Arial"/>
      <family val="0"/>
      <charset val="1"/>
    </font>
    <font>
      <b val="true"/>
      <sz val="10"/>
      <color rgb="FFB7791F"/>
      <name val="Arial"/>
      <family val="0"/>
      <charset val="1"/>
    </font>
    <font>
      <b val="true"/>
      <sz val="10"/>
      <color rgb="FF00793C"/>
      <name val="Arial"/>
      <family val="0"/>
      <charset val="1"/>
    </font>
    <font>
      <u val="single"/>
      <sz val="10"/>
      <color rgb="FF008000"/>
      <name val="Arial"/>
      <family val="0"/>
      <charset val="1"/>
    </font>
  </fonts>
  <fills count="7">
    <fill>
      <patternFill patternType="none"/>
    </fill>
    <fill>
      <patternFill patternType="gray125"/>
    </fill>
    <fill>
      <patternFill patternType="solid">
        <fgColor rgb="FF00793C"/>
        <bgColor rgb="FF008000"/>
      </patternFill>
    </fill>
    <fill>
      <patternFill patternType="solid">
        <fgColor rgb="FF00A651"/>
        <bgColor rgb="FF008080"/>
      </patternFill>
    </fill>
    <fill>
      <patternFill patternType="solid">
        <fgColor rgb="FFEAF2FF"/>
        <bgColor rgb="FFE8F6EE"/>
      </patternFill>
    </fill>
    <fill>
      <patternFill patternType="solid">
        <fgColor rgb="FFE8F6EE"/>
        <bgColor rgb="FFEAF2FF"/>
      </patternFill>
    </fill>
    <fill>
      <patternFill patternType="solid">
        <fgColor rgb="FFFFF7CC"/>
        <bgColor rgb="FFFFF3D6"/>
      </patternFill>
    </fill>
  </fills>
  <borders count="3">
    <border diagonalUp="false" diagonalDown="false">
      <left/>
      <right/>
      <top/>
      <bottom/>
      <diagonal/>
    </border>
    <border diagonalUp="false" diagonalDown="false">
      <left style="thin">
        <color rgb="FF00A651"/>
      </left>
      <right style="thin">
        <color rgb="FF00A651"/>
      </right>
      <top style="thin">
        <color rgb="FF00A651"/>
      </top>
      <bottom style="thin">
        <color rgb="FF00A651"/>
      </bottom>
      <diagonal/>
    </border>
    <border diagonalUp="false" diagonalDown="false">
      <left style="thin">
        <color rgb="FFD7E5DC"/>
      </left>
      <right style="thin">
        <color rgb="FFD7E5DC"/>
      </right>
      <top style="thin">
        <color rgb="FFD7E5DC"/>
      </top>
      <bottom style="thin">
        <color rgb="FFD7E5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9" fillId="2" borderId="0" xfId="0" applyFont="true" applyBorder="true" applyAlignment="true" applyProtection="false">
      <alignment horizontal="left" vertical="center" textRotation="0" wrapText="false" indent="1"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11" fillId="3" borderId="2" xfId="0" applyFont="true" applyBorder="true" applyAlignment="true" applyProtection="false">
      <alignment horizontal="center" vertical="center" textRotation="0" wrapText="true" indent="0" shrinkToFit="false"/>
      <protection locked="true" hidden="false"/>
    </xf>
    <xf numFmtId="164" fontId="12" fillId="4" borderId="2" xfId="0" applyFont="true" applyBorder="true" applyAlignment="true" applyProtection="false">
      <alignment horizontal="left" vertical="center" textRotation="0" wrapText="true" indent="0" shrinkToFit="false"/>
      <protection locked="true" hidden="false"/>
    </xf>
    <xf numFmtId="165" fontId="12" fillId="4" borderId="2" xfId="0" applyFont="true" applyBorder="true" applyAlignment="true" applyProtection="false">
      <alignment horizontal="right" vertical="center" textRotation="0" wrapText="false" indent="0" shrinkToFit="false"/>
      <protection locked="true" hidden="false"/>
    </xf>
    <xf numFmtId="166" fontId="12" fillId="4" borderId="2" xfId="0" applyFont="true" applyBorder="true" applyAlignment="true" applyProtection="false">
      <alignment horizontal="right" vertical="center" textRotation="0" wrapText="false" indent="0" shrinkToFit="false"/>
      <protection locked="true" hidden="false"/>
    </xf>
    <xf numFmtId="167" fontId="13" fillId="0" borderId="2" xfId="0" applyFont="true" applyBorder="true" applyAlignment="true" applyProtection="false">
      <alignment horizontal="right" vertical="center" textRotation="0" wrapText="false" indent="0" shrinkToFit="false"/>
      <protection locked="true" hidden="false"/>
    </xf>
    <xf numFmtId="168" fontId="13" fillId="0" borderId="2" xfId="0" applyFont="true" applyBorder="true" applyAlignment="true" applyProtection="false">
      <alignment horizontal="right" vertical="center" textRotation="0" wrapText="false" indent="0" shrinkToFit="false"/>
      <protection locked="true" hidden="false"/>
    </xf>
    <xf numFmtId="169" fontId="12" fillId="4" borderId="2" xfId="0" applyFont="true" applyBorder="true" applyAlignment="true" applyProtection="false">
      <alignment horizontal="right" vertical="center" textRotation="0" wrapText="false" indent="0" shrinkToFit="false"/>
      <protection locked="true" hidden="false"/>
    </xf>
    <xf numFmtId="164" fontId="14" fillId="5" borderId="1" xfId="0" applyFont="true" applyBorder="true" applyAlignment="true" applyProtection="false">
      <alignment horizontal="left" vertical="top" textRotation="0" wrapText="true" indent="0" shrinkToFit="false"/>
      <protection locked="true" hidden="false"/>
    </xf>
    <xf numFmtId="170" fontId="1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left" vertical="center" textRotation="0" wrapText="true" indent="0" shrinkToFit="false"/>
      <protection locked="true" hidden="false"/>
    </xf>
    <xf numFmtId="168" fontId="7" fillId="0" borderId="2" xfId="0" applyFont="true" applyBorder="true" applyAlignment="true" applyProtection="false">
      <alignment horizontal="right" vertical="center" textRotation="0" wrapText="false" indent="0" shrinkToFit="false"/>
      <protection locked="true" hidden="false"/>
    </xf>
    <xf numFmtId="171" fontId="13" fillId="0" borderId="2" xfId="0" applyFont="true" applyBorder="true" applyAlignment="true" applyProtection="false">
      <alignment horizontal="right" vertical="center" textRotation="0" wrapText="false" indent="0" shrinkToFit="false"/>
      <protection locked="true" hidden="false"/>
    </xf>
    <xf numFmtId="166" fontId="7" fillId="0" borderId="2" xfId="0" applyFont="true" applyBorder="true" applyAlignment="true" applyProtection="false">
      <alignment horizontal="right" vertical="center" textRotation="0" wrapText="false" indent="0" shrinkToFit="false"/>
      <protection locked="true" hidden="false"/>
    </xf>
    <xf numFmtId="167" fontId="7" fillId="0" borderId="2" xfId="0" applyFont="true" applyBorder="true" applyAlignment="true" applyProtection="false">
      <alignment horizontal="right" vertical="center" textRotation="0" wrapText="false" indent="0" shrinkToFit="false"/>
      <protection locked="true" hidden="false"/>
    </xf>
    <xf numFmtId="164" fontId="17" fillId="3" borderId="2" xfId="0" applyFont="true" applyBorder="true" applyAlignment="true" applyProtection="false">
      <alignment horizontal="center" vertical="center" textRotation="0" wrapText="true" indent="0" shrinkToFit="false"/>
      <protection locked="true" hidden="false"/>
    </xf>
    <xf numFmtId="164" fontId="18" fillId="0" borderId="2" xfId="0" applyFont="true" applyBorder="true" applyAlignment="true" applyProtection="false">
      <alignment horizontal="left" vertical="center" textRotation="0" wrapText="true" indent="0" shrinkToFit="false"/>
      <protection locked="true" hidden="false"/>
    </xf>
    <xf numFmtId="165" fontId="7" fillId="0" borderId="2" xfId="0" applyFont="true" applyBorder="true" applyAlignment="true" applyProtection="false">
      <alignment horizontal="right" vertical="center" textRotation="0" wrapText="false" indent="0" shrinkToFit="false"/>
      <protection locked="true" hidden="false"/>
    </xf>
    <xf numFmtId="172" fontId="13" fillId="0" borderId="2" xfId="0" applyFont="true" applyBorder="true" applyAlignment="true" applyProtection="false">
      <alignment horizontal="right" vertical="center" textRotation="0" wrapText="false" indent="0" shrinkToFit="false"/>
      <protection locked="true" hidden="false"/>
    </xf>
    <xf numFmtId="169" fontId="7" fillId="0" borderId="2"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right" vertical="center" textRotation="0" wrapText="false" indent="0" shrinkToFit="false"/>
      <protection locked="true" hidden="false"/>
    </xf>
    <xf numFmtId="173" fontId="13" fillId="0" borderId="2" xfId="0" applyFont="true" applyBorder="true" applyAlignment="true" applyProtection="false">
      <alignment horizontal="center" vertical="center" textRotation="0" wrapText="true" indent="0" shrinkToFit="false"/>
      <protection locked="true" hidden="false"/>
    </xf>
    <xf numFmtId="164" fontId="20" fillId="6" borderId="1" xfId="0" applyFont="true" applyBorder="true" applyAlignment="true" applyProtection="false">
      <alignment horizontal="left" vertical="top" textRotation="0" wrapText="true" indent="0" shrinkToFit="false"/>
      <protection locked="true" hidden="false"/>
    </xf>
    <xf numFmtId="169" fontId="13" fillId="0" borderId="2" xfId="0" applyFont="true" applyBorder="true" applyAlignment="true" applyProtection="false">
      <alignment horizontal="right" vertical="center" textRotation="0" wrapText="false" indent="0" shrinkToFit="false"/>
      <protection locked="true" hidden="false"/>
    </xf>
    <xf numFmtId="174" fontId="12" fillId="4" borderId="2" xfId="0" applyFont="true" applyBorder="true" applyAlignment="true" applyProtection="false">
      <alignment horizontal="center" vertical="center" textRotation="0" wrapText="true" indent="0" shrinkToFit="false"/>
      <protection locked="true" hidden="false"/>
    </xf>
    <xf numFmtId="165" fontId="13" fillId="0" borderId="2" xfId="0" applyFont="true" applyBorder="true" applyAlignment="true" applyProtection="false">
      <alignment horizontal="right" vertical="center" textRotation="0" wrapText="false" indent="0" shrinkToFit="false"/>
      <protection locked="true" hidden="false"/>
    </xf>
    <xf numFmtId="175" fontId="13" fillId="0" borderId="2" xfId="0" applyFont="true" applyBorder="true" applyAlignment="true" applyProtection="false">
      <alignment horizontal="right" vertical="center" textRotation="0" wrapText="false" indent="0" shrinkToFit="false"/>
      <protection locked="true" hidden="false"/>
    </xf>
    <xf numFmtId="164" fontId="21" fillId="0"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4" fontId="22" fillId="0" borderId="2" xfId="0" applyFont="true" applyBorder="true" applyAlignment="true" applyProtection="false">
      <alignment horizontal="center" vertical="center" textRotation="0" wrapText="true" indent="0" shrinkToFit="false"/>
      <protection locked="true" hidden="false"/>
    </xf>
    <xf numFmtId="164" fontId="23" fillId="0"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24" fillId="0"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00A651"/>
          <bgColor rgb="FF000000"/>
        </patternFill>
      </fill>
    </dxf>
    <dxf>
      <fill>
        <patternFill patternType="solid">
          <fgColor rgb="FFEAF2FF"/>
          <bgColor rgb="FF000000"/>
        </patternFill>
      </fill>
    </dxf>
    <dxf>
      <fill>
        <patternFill patternType="solid">
          <fgColor rgb="FF0000FF"/>
          <bgColor rgb="FF000000"/>
        </patternFill>
      </fill>
    </dxf>
    <dxf>
      <fill>
        <patternFill patternType="solid">
          <fgColor rgb="FFFFFFFF"/>
          <bgColor rgb="FF000000"/>
        </patternFill>
      </fill>
    </dxf>
    <dxf>
      <fill>
        <patternFill patternType="solid">
          <bgColor rgb="FF000000"/>
        </patternFill>
      </fill>
    </dxf>
    <dxf>
      <fill>
        <patternFill patternType="solid">
          <fgColor rgb="FF6B7280"/>
          <bgColor rgb="FF000000"/>
        </patternFill>
      </fill>
    </dxf>
    <dxf>
      <font>
        <name val="Arial"/>
        <charset val="1"/>
        <family val="0"/>
        <color rgb="FF00793C"/>
      </font>
    </dxf>
    <dxf>
      <font>
        <name val="Arial"/>
        <charset val="1"/>
        <family val="0"/>
        <color rgb="FFC00000"/>
      </font>
    </dxf>
    <dxf>
      <fill>
        <patternFill patternType="solid">
          <fgColor rgb="FFFBE3E3"/>
          <bgColor rgb="FF000000"/>
        </patternFill>
      </fill>
    </dxf>
    <dxf>
      <fill>
        <patternFill patternType="solid">
          <fgColor rgb="FFC00000"/>
          <bgColor rgb="FF000000"/>
        </patternFill>
      </fill>
    </dxf>
    <dxf>
      <font>
        <name val="Arial"/>
        <charset val="1"/>
        <family val="0"/>
        <b val="1"/>
        <color rgb="FFC00000"/>
      </font>
      <fill>
        <patternFill>
          <bgColor rgb="FFFBE3E3"/>
        </patternFill>
      </fill>
    </dxf>
    <dxf>
      <font>
        <name val="Arial"/>
        <charset val="1"/>
        <family val="0"/>
        <b val="1"/>
        <color rgb="FFB7791F"/>
      </font>
      <fill>
        <patternFill>
          <bgColor rgb="FFFFF3D6"/>
        </patternFill>
      </fill>
    </dxf>
    <dxf>
      <font>
        <name val="Arial"/>
        <charset val="1"/>
        <family val="0"/>
        <b val="1"/>
        <color rgb="FF00793C"/>
      </font>
      <fill>
        <patternFill>
          <bgColor rgb="FFDCF3E4"/>
        </patternFill>
      </fill>
    </dxf>
    <dxf>
      <fill>
        <patternFill patternType="solid">
          <fgColor rgb="FF00793C"/>
          <bgColor rgb="FF000000"/>
        </patternFill>
      </fill>
    </dxf>
    <dxf>
      <fill>
        <patternFill patternType="solid">
          <fgColor rgb="FFB7791F"/>
          <bgColor rgb="FF000000"/>
        </patternFill>
      </fill>
    </dxf>
    <dxf>
      <fill>
        <patternFill patternType="solid">
          <fgColor rgb="FF1F2937"/>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B7791F"/>
      <rgbColor rgb="FF800080"/>
      <rgbColor rgb="FF00793C"/>
      <rgbColor rgb="FFC0C0C0"/>
      <rgbColor rgb="FF808080"/>
      <rgbColor rgb="FF9999FF"/>
      <rgbColor rgb="FF993366"/>
      <rgbColor rgb="FFFFF7CC"/>
      <rgbColor rgb="FFE8F6EE"/>
      <rgbColor rgb="FF660066"/>
      <rgbColor rgb="FFFF8080"/>
      <rgbColor rgb="FF0066CC"/>
      <rgbColor rgb="FFD7E5DC"/>
      <rgbColor rgb="FF000080"/>
      <rgbColor rgb="FFFF00FF"/>
      <rgbColor rgb="FFFFFF00"/>
      <rgbColor rgb="FF00FFFF"/>
      <rgbColor rgb="FF800080"/>
      <rgbColor rgb="FF800000"/>
      <rgbColor rgb="FF008080"/>
      <rgbColor rgb="FF0000FF"/>
      <rgbColor rgb="FF00CCFF"/>
      <rgbColor rgb="FFEAF2FF"/>
      <rgbColor rgb="FFDCF3E4"/>
      <rgbColor rgb="FFFFF3D6"/>
      <rgbColor rgb="FF99CCFF"/>
      <rgbColor rgb="FFFF99CC"/>
      <rgbColor rgb="FFCC99FF"/>
      <rgbColor rgb="FFFBE3E3"/>
      <rgbColor rgb="FF3366FF"/>
      <rgbColor rgb="FF33CCCC"/>
      <rgbColor rgb="FF99CC00"/>
      <rgbColor rgb="FFFFCC00"/>
      <rgbColor rgb="FFFF9900"/>
      <rgbColor rgb="FFFF6600"/>
      <rgbColor rgb="FF6B7280"/>
      <rgbColor rgb="FF969696"/>
      <rgbColor rgb="FF003366"/>
      <rgbColor rgb="FF00A651"/>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3.xml"/><Relationship Id="rId3" Type="http://schemas.openxmlformats.org/officeDocument/2006/relationships/vmlDrawing" Target="../drawings/vmlDrawing3.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4.xml"/><Relationship Id="rId3" Type="http://schemas.openxmlformats.org/officeDocument/2006/relationships/vmlDrawing" Target="../drawings/vmlDrawing4.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5.xml"/><Relationship Id="rId3" Type="http://schemas.openxmlformats.org/officeDocument/2006/relationships/vmlDrawing" Target="../drawings/vmlDrawing5.vml"/>
</Relationships>
</file>

<file path=xl/worksheets/_rels/sheet11.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hyperlink" Target="https://www.linkedin.com/campaignmanager/" TargetMode="External"/><Relationship Id="rId2" Type="http://schemas.openxmlformats.org/officeDocument/2006/relationships/hyperlink" Target="https://www.linkedin.com/campaignmanager/" TargetMode="External"/><Relationship Id="rId3" Type="http://schemas.openxmlformats.org/officeDocument/2006/relationships/hyperlink" Target="https://mcp.windsor.ai/" TargetMode="External"/><Relationship Id="rId4" Type="http://schemas.openxmlformats.org/officeDocument/2006/relationships/hyperlink" Target="https://app.hubspot.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93C"/>
    <pageSetUpPr fitToPage="false"/>
  </sheetPr>
  <dimension ref="A1:H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8" min="2" style="0" width="12"/>
  </cols>
  <sheetData>
    <row r="1" customFormat="false" ht="30"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4" customFormat="false" ht="21.75" hidden="false" customHeight="true" outlineLevel="0" collapsed="false">
      <c r="A4" s="3" t="s">
        <v>2</v>
      </c>
      <c r="B4" s="3"/>
      <c r="C4" s="3"/>
      <c r="D4" s="3"/>
      <c r="E4" s="3"/>
      <c r="F4" s="3"/>
      <c r="G4" s="3"/>
      <c r="H4" s="3"/>
    </row>
    <row r="5" customFormat="false" ht="30" hidden="false" customHeight="true" outlineLevel="0" collapsed="false">
      <c r="A5" s="4" t="s">
        <v>3</v>
      </c>
      <c r="B5" s="4"/>
      <c r="C5" s="4"/>
      <c r="D5" s="4"/>
      <c r="E5" s="4"/>
      <c r="F5" s="4"/>
      <c r="G5" s="4"/>
      <c r="H5" s="4"/>
    </row>
    <row r="6" customFormat="false" ht="18" hidden="false" customHeight="true" outlineLevel="0" collapsed="false">
      <c r="A6" s="5" t="s">
        <v>4</v>
      </c>
      <c r="B6" s="5"/>
      <c r="C6" s="5"/>
      <c r="D6" s="5"/>
      <c r="E6" s="5"/>
      <c r="F6" s="5"/>
      <c r="G6" s="5"/>
      <c r="H6" s="5"/>
    </row>
    <row r="7" customFormat="false" ht="18" hidden="false" customHeight="true" outlineLevel="0" collapsed="false">
      <c r="A7" s="4" t="s">
        <v>5</v>
      </c>
      <c r="B7" s="4"/>
      <c r="C7" s="4"/>
      <c r="D7" s="4"/>
      <c r="E7" s="4"/>
      <c r="F7" s="4"/>
      <c r="G7" s="4"/>
      <c r="H7" s="4"/>
    </row>
    <row r="9" customFormat="false" ht="21.75" hidden="false" customHeight="true" outlineLevel="0" collapsed="false">
      <c r="A9" s="3" t="s">
        <v>6</v>
      </c>
      <c r="B9" s="3"/>
      <c r="C9" s="3"/>
      <c r="D9" s="3"/>
      <c r="E9" s="3"/>
      <c r="F9" s="3"/>
      <c r="G9" s="3"/>
      <c r="H9" s="3"/>
    </row>
    <row r="10" customFormat="false" ht="30" hidden="false" customHeight="true" outlineLevel="0" collapsed="false">
      <c r="A10" s="4" t="s">
        <v>7</v>
      </c>
      <c r="B10" s="4"/>
      <c r="C10" s="4"/>
      <c r="D10" s="4"/>
      <c r="E10" s="4"/>
      <c r="F10" s="4"/>
      <c r="G10" s="4"/>
      <c r="H10" s="4"/>
    </row>
    <row r="12" customFormat="false" ht="21.75" hidden="false" customHeight="true" outlineLevel="0" collapsed="false">
      <c r="A12" s="3" t="s">
        <v>8</v>
      </c>
      <c r="B12" s="3"/>
      <c r="C12" s="3"/>
      <c r="D12" s="3"/>
      <c r="E12" s="3"/>
      <c r="F12" s="3"/>
      <c r="G12" s="3"/>
      <c r="H12" s="3"/>
    </row>
    <row r="13" customFormat="false" ht="30" hidden="false" customHeight="true" outlineLevel="0" collapsed="false">
      <c r="A13" s="4" t="s">
        <v>9</v>
      </c>
      <c r="B13" s="4"/>
      <c r="C13" s="4"/>
      <c r="D13" s="4"/>
      <c r="E13" s="4"/>
      <c r="F13" s="4"/>
      <c r="G13" s="4"/>
      <c r="H13" s="4"/>
    </row>
    <row r="14" customFormat="false" ht="30" hidden="false" customHeight="true" outlineLevel="0" collapsed="false">
      <c r="A14" s="5" t="s">
        <v>10</v>
      </c>
      <c r="B14" s="5"/>
      <c r="C14" s="5"/>
      <c r="D14" s="5"/>
      <c r="E14" s="5"/>
      <c r="F14" s="5"/>
      <c r="G14" s="5"/>
      <c r="H14" s="5"/>
    </row>
  </sheetData>
  <mergeCells count="11">
    <mergeCell ref="A1:H1"/>
    <mergeCell ref="A2:H2"/>
    <mergeCell ref="A4:H4"/>
    <mergeCell ref="A5:H5"/>
    <mergeCell ref="A6:H6"/>
    <mergeCell ref="A7:H7"/>
    <mergeCell ref="A9:H9"/>
    <mergeCell ref="A10:H10"/>
    <mergeCell ref="A12:H12"/>
    <mergeCell ref="A13:H13"/>
    <mergeCell ref="A14:H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93C"/>
    <pageSetUpPr fitToPage="false"/>
  </sheetPr>
  <dimension ref="A1:H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7" min="2" style="0" width="12"/>
    <col collapsed="false" customWidth="true" hidden="false" outlineLevel="0" max="8" min="8" style="0" width="13"/>
  </cols>
  <sheetData>
    <row r="1" customFormat="false" ht="30" hidden="false" customHeight="true" outlineLevel="0" collapsed="false">
      <c r="A1" s="1" t="s">
        <v>11</v>
      </c>
      <c r="B1" s="1"/>
      <c r="C1" s="1"/>
      <c r="D1" s="1"/>
      <c r="E1" s="1"/>
      <c r="F1" s="1"/>
      <c r="G1" s="1"/>
      <c r="H1" s="1"/>
    </row>
    <row r="2" customFormat="false" ht="18" hidden="false" customHeight="true" outlineLevel="0" collapsed="false">
      <c r="A2" s="2" t="s">
        <v>12</v>
      </c>
      <c r="B2" s="2"/>
      <c r="C2" s="2"/>
      <c r="D2" s="2"/>
      <c r="E2" s="2"/>
      <c r="F2" s="2"/>
      <c r="G2" s="2"/>
      <c r="H2" s="2"/>
    </row>
    <row r="4" customFormat="false" ht="24" hidden="false" customHeight="true" outlineLevel="0" collapsed="false">
      <c r="A4" s="6" t="s">
        <v>13</v>
      </c>
      <c r="B4" s="6"/>
      <c r="C4" s="6"/>
      <c r="D4" s="6"/>
      <c r="E4" s="6"/>
      <c r="F4" s="6"/>
      <c r="G4" s="6"/>
      <c r="H4" s="6"/>
    </row>
    <row r="5" customFormat="false" ht="57.75" hidden="false" customHeight="true" outlineLevel="0" collapsed="false">
      <c r="A5" s="4" t="s">
        <v>14</v>
      </c>
      <c r="B5" s="4"/>
      <c r="C5" s="4"/>
      <c r="D5" s="4"/>
      <c r="E5" s="4"/>
      <c r="F5" s="4"/>
      <c r="G5" s="4"/>
      <c r="H5" s="4"/>
    </row>
    <row r="7" customFormat="false" ht="24" hidden="false" customHeight="true" outlineLevel="0" collapsed="false">
      <c r="A7" s="6" t="s">
        <v>15</v>
      </c>
      <c r="B7" s="6"/>
      <c r="C7" s="6"/>
      <c r="D7" s="6"/>
      <c r="E7" s="6"/>
      <c r="F7" s="6"/>
      <c r="G7" s="6"/>
      <c r="H7" s="6"/>
    </row>
    <row r="8" customFormat="false" ht="57.75" hidden="false" customHeight="true" outlineLevel="0" collapsed="false">
      <c r="A8" s="4" t="s">
        <v>16</v>
      </c>
      <c r="B8" s="4"/>
      <c r="C8" s="4"/>
      <c r="D8" s="4"/>
      <c r="E8" s="4"/>
      <c r="F8" s="4"/>
      <c r="G8" s="4"/>
      <c r="H8" s="4"/>
    </row>
    <row r="10" customFormat="false" ht="30" hidden="false" customHeight="true" outlineLevel="0" collapsed="false">
      <c r="A10" s="5" t="s">
        <v>17</v>
      </c>
      <c r="B10" s="5"/>
      <c r="C10" s="5"/>
      <c r="D10" s="5"/>
      <c r="E10" s="5"/>
      <c r="F10" s="5"/>
      <c r="G10" s="5"/>
      <c r="H10" s="5"/>
    </row>
    <row r="11" customFormat="false" ht="43.5" hidden="false" customHeight="true" outlineLevel="0" collapsed="false">
      <c r="A11" s="7" t="s">
        <v>18</v>
      </c>
      <c r="B11" s="7"/>
      <c r="C11" s="7"/>
      <c r="D11" s="7"/>
      <c r="E11" s="7"/>
      <c r="F11" s="7"/>
      <c r="G11" s="7"/>
      <c r="H11" s="7"/>
    </row>
    <row r="13" customFormat="false" ht="30" hidden="false" customHeight="true" outlineLevel="0" collapsed="false">
      <c r="A13" s="5" t="s">
        <v>19</v>
      </c>
      <c r="B13" s="5"/>
      <c r="C13" s="5"/>
      <c r="D13" s="5"/>
      <c r="E13" s="5"/>
      <c r="F13" s="5"/>
      <c r="G13" s="5"/>
      <c r="H13" s="5"/>
    </row>
    <row r="14" customFormat="false" ht="57.75" hidden="false" customHeight="true" outlineLevel="0" collapsed="false">
      <c r="A14" s="7" t="s">
        <v>20</v>
      </c>
      <c r="B14" s="7"/>
      <c r="C14" s="7"/>
      <c r="D14" s="7"/>
      <c r="E14" s="7"/>
      <c r="F14" s="7"/>
      <c r="G14" s="7"/>
      <c r="H14" s="7"/>
    </row>
    <row r="16" customFormat="false" ht="30" hidden="false" customHeight="true" outlineLevel="0" collapsed="false">
      <c r="A16" s="5" t="s">
        <v>21</v>
      </c>
      <c r="B16" s="5"/>
      <c r="C16" s="5"/>
      <c r="D16" s="5"/>
      <c r="E16" s="5"/>
      <c r="F16" s="5"/>
      <c r="G16" s="5"/>
      <c r="H16" s="5"/>
    </row>
    <row r="17" customFormat="false" ht="57.75" hidden="false" customHeight="true" outlineLevel="0" collapsed="false">
      <c r="A17" s="7" t="s">
        <v>22</v>
      </c>
      <c r="B17" s="7"/>
      <c r="C17" s="7"/>
      <c r="D17" s="7"/>
      <c r="E17" s="7"/>
      <c r="F17" s="7"/>
      <c r="G17" s="7"/>
      <c r="H17" s="7"/>
    </row>
    <row r="19" customFormat="false" ht="30" hidden="false" customHeight="true" outlineLevel="0" collapsed="false">
      <c r="A19" s="5" t="s">
        <v>23</v>
      </c>
      <c r="B19" s="5"/>
      <c r="C19" s="5"/>
      <c r="D19" s="5"/>
      <c r="E19" s="5"/>
      <c r="F19" s="5"/>
      <c r="G19" s="5"/>
      <c r="H19" s="5"/>
    </row>
    <row r="20" customFormat="false" ht="43.5" hidden="false" customHeight="true" outlineLevel="0" collapsed="false">
      <c r="A20" s="7" t="s">
        <v>24</v>
      </c>
      <c r="B20" s="7"/>
      <c r="C20" s="7"/>
      <c r="D20" s="7"/>
      <c r="E20" s="7"/>
      <c r="F20" s="7"/>
      <c r="G20" s="7"/>
      <c r="H20" s="7"/>
    </row>
    <row r="22" customFormat="false" ht="30" hidden="false" customHeight="true" outlineLevel="0" collapsed="false">
      <c r="A22" s="5" t="s">
        <v>25</v>
      </c>
      <c r="B22" s="5"/>
      <c r="C22" s="5"/>
      <c r="D22" s="5"/>
      <c r="E22" s="5"/>
      <c r="F22" s="5"/>
      <c r="G22" s="5"/>
      <c r="H22" s="5"/>
    </row>
    <row r="23" customFormat="false" ht="43.5" hidden="false" customHeight="true" outlineLevel="0" collapsed="false">
      <c r="A23" s="7" t="s">
        <v>26</v>
      </c>
      <c r="B23" s="7"/>
      <c r="C23" s="7"/>
      <c r="D23" s="7"/>
      <c r="E23" s="7"/>
      <c r="F23" s="7"/>
      <c r="G23" s="7"/>
      <c r="H23" s="7"/>
    </row>
    <row r="25" customFormat="false" ht="30" hidden="false" customHeight="true" outlineLevel="0" collapsed="false">
      <c r="A25" s="5" t="s">
        <v>27</v>
      </c>
      <c r="B25" s="5"/>
      <c r="C25" s="5"/>
      <c r="D25" s="5"/>
      <c r="E25" s="5"/>
      <c r="F25" s="5"/>
      <c r="G25" s="5"/>
      <c r="H25" s="5"/>
    </row>
    <row r="26" customFormat="false" ht="43.5" hidden="false" customHeight="true" outlineLevel="0" collapsed="false">
      <c r="A26" s="7" t="s">
        <v>28</v>
      </c>
      <c r="B26" s="7"/>
      <c r="C26" s="7"/>
      <c r="D26" s="7"/>
      <c r="E26" s="7"/>
      <c r="F26" s="7"/>
      <c r="G26" s="7"/>
      <c r="H26" s="7"/>
    </row>
    <row r="28" customFormat="false" ht="30" hidden="false" customHeight="true" outlineLevel="0" collapsed="false">
      <c r="A28" s="5" t="s">
        <v>29</v>
      </c>
      <c r="B28" s="5"/>
      <c r="C28" s="5"/>
      <c r="D28" s="5"/>
      <c r="E28" s="5"/>
      <c r="F28" s="5"/>
      <c r="G28" s="5"/>
      <c r="H28" s="5"/>
    </row>
    <row r="29" customFormat="false" ht="43.5" hidden="false" customHeight="true" outlineLevel="0" collapsed="false">
      <c r="A29" s="7" t="s">
        <v>30</v>
      </c>
      <c r="B29" s="7"/>
      <c r="C29" s="7"/>
      <c r="D29" s="7"/>
      <c r="E29" s="7"/>
      <c r="F29" s="7"/>
      <c r="G29" s="7"/>
      <c r="H29" s="7"/>
    </row>
    <row r="31" customFormat="false" ht="24" hidden="false" customHeight="true" outlineLevel="0" collapsed="false">
      <c r="A31" s="6" t="s">
        <v>31</v>
      </c>
      <c r="B31" s="6"/>
      <c r="C31" s="6"/>
      <c r="D31" s="6"/>
      <c r="E31" s="6"/>
      <c r="F31" s="6"/>
      <c r="G31" s="6"/>
      <c r="H31" s="6"/>
    </row>
    <row r="32" customFormat="false" ht="72" hidden="false" customHeight="true" outlineLevel="0" collapsed="false">
      <c r="A32" s="4" t="s">
        <v>32</v>
      </c>
      <c r="B32" s="4"/>
      <c r="C32" s="4"/>
      <c r="D32" s="4"/>
      <c r="E32" s="4"/>
      <c r="F32" s="4"/>
      <c r="G32" s="4"/>
      <c r="H32" s="4"/>
    </row>
    <row r="34" customFormat="false" ht="24" hidden="false" customHeight="true" outlineLevel="0" collapsed="false">
      <c r="A34" s="6" t="s">
        <v>33</v>
      </c>
      <c r="B34" s="6"/>
      <c r="C34" s="6"/>
      <c r="D34" s="6"/>
      <c r="E34" s="6"/>
      <c r="F34" s="6"/>
      <c r="G34" s="6"/>
      <c r="H34" s="6"/>
    </row>
    <row r="35" customFormat="false" ht="57.75" hidden="false" customHeight="true" outlineLevel="0" collapsed="false">
      <c r="A35" s="4" t="s">
        <v>34</v>
      </c>
      <c r="B35" s="4"/>
      <c r="C35" s="4"/>
      <c r="D35" s="4"/>
      <c r="E35" s="4"/>
      <c r="F35" s="4"/>
      <c r="G35" s="4"/>
      <c r="H35" s="4"/>
    </row>
    <row r="37" customFormat="false" ht="24" hidden="false" customHeight="true" outlineLevel="0" collapsed="false">
      <c r="A37" s="6" t="s">
        <v>35</v>
      </c>
      <c r="B37" s="6"/>
      <c r="C37" s="6"/>
      <c r="D37" s="6"/>
      <c r="E37" s="6"/>
      <c r="F37" s="6"/>
      <c r="G37" s="6"/>
      <c r="H37" s="6"/>
    </row>
    <row r="38" customFormat="false" ht="72" hidden="false" customHeight="true" outlineLevel="0" collapsed="false">
      <c r="A38" s="4" t="s">
        <v>36</v>
      </c>
      <c r="B38" s="4"/>
      <c r="C38" s="4"/>
      <c r="D38" s="4"/>
      <c r="E38" s="4"/>
      <c r="F38" s="4"/>
      <c r="G38" s="4"/>
      <c r="H38" s="4"/>
    </row>
  </sheetData>
  <mergeCells count="26">
    <mergeCell ref="A1:H1"/>
    <mergeCell ref="A2:H2"/>
    <mergeCell ref="A4:H4"/>
    <mergeCell ref="A5:H5"/>
    <mergeCell ref="A7:H7"/>
    <mergeCell ref="A8:H8"/>
    <mergeCell ref="A10:H10"/>
    <mergeCell ref="A11:H11"/>
    <mergeCell ref="A13:H13"/>
    <mergeCell ref="A14:H14"/>
    <mergeCell ref="A16:H16"/>
    <mergeCell ref="A17:H17"/>
    <mergeCell ref="A19:H19"/>
    <mergeCell ref="A20:H20"/>
    <mergeCell ref="A22:H22"/>
    <mergeCell ref="A23:H23"/>
    <mergeCell ref="A25:H25"/>
    <mergeCell ref="A26:H26"/>
    <mergeCell ref="A28:H28"/>
    <mergeCell ref="A29:H29"/>
    <mergeCell ref="A31:H31"/>
    <mergeCell ref="A32:H32"/>
    <mergeCell ref="A34:H34"/>
    <mergeCell ref="A35:H35"/>
    <mergeCell ref="A37:H37"/>
    <mergeCell ref="A38:H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93C"/>
    <pageSetUpPr fitToPage="false"/>
  </sheetPr>
  <dimension ref="A1:L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13"/>
    <col collapsed="false" customWidth="true" hidden="false" outlineLevel="0" max="4" min="4" style="0" width="9"/>
    <col collapsed="false" customWidth="true" hidden="false" outlineLevel="0" max="5" min="5" style="0" width="8"/>
    <col collapsed="false" customWidth="true" hidden="false" outlineLevel="0" max="7" min="6" style="0" width="10"/>
    <col collapsed="false" customWidth="true" hidden="false" outlineLevel="0" max="8" min="8" style="0" width="9"/>
    <col collapsed="false" customWidth="true" hidden="false" outlineLevel="0" max="9" min="9" style="0" width="12"/>
    <col collapsed="false" customWidth="true" hidden="false" outlineLevel="0" max="10" min="10" style="0" width="10"/>
    <col collapsed="false" customWidth="true" hidden="false" outlineLevel="0" max="11" min="11" style="0" width="15"/>
    <col collapsed="false" customWidth="true" hidden="false" outlineLevel="0" max="12" min="12" style="0" width="12"/>
  </cols>
  <sheetData>
    <row r="1" customFormat="false" ht="30" hidden="false" customHeight="true" outlineLevel="0" collapsed="false">
      <c r="A1" s="1" t="s">
        <v>37</v>
      </c>
      <c r="B1" s="1"/>
      <c r="C1" s="1"/>
      <c r="D1" s="1"/>
      <c r="E1" s="1"/>
      <c r="F1" s="1"/>
      <c r="G1" s="1"/>
      <c r="H1" s="1"/>
      <c r="I1" s="1"/>
      <c r="J1" s="1"/>
      <c r="K1" s="1"/>
      <c r="L1" s="1"/>
    </row>
    <row r="2" customFormat="false" ht="18" hidden="false" customHeight="true" outlineLevel="0" collapsed="false">
      <c r="A2" s="2" t="s">
        <v>38</v>
      </c>
      <c r="B2" s="2"/>
      <c r="C2" s="2"/>
      <c r="D2" s="2"/>
      <c r="E2" s="2"/>
      <c r="F2" s="2"/>
      <c r="G2" s="2"/>
      <c r="H2" s="2"/>
      <c r="I2" s="2"/>
      <c r="J2" s="2"/>
      <c r="K2" s="2"/>
      <c r="L2" s="2"/>
    </row>
    <row r="4" customFormat="false" ht="27.75" hidden="false" customHeight="true" outlineLevel="0" collapsed="false">
      <c r="A4" s="8" t="s">
        <v>39</v>
      </c>
      <c r="B4" s="8" t="s">
        <v>40</v>
      </c>
      <c r="C4" s="8" t="s">
        <v>41</v>
      </c>
      <c r="D4" s="8" t="s">
        <v>42</v>
      </c>
      <c r="E4" s="8" t="s">
        <v>43</v>
      </c>
      <c r="F4" s="8" t="s">
        <v>44</v>
      </c>
      <c r="G4" s="8" t="s">
        <v>45</v>
      </c>
      <c r="H4" s="8" t="s">
        <v>46</v>
      </c>
      <c r="I4" s="8" t="s">
        <v>47</v>
      </c>
      <c r="J4" s="8" t="s">
        <v>48</v>
      </c>
      <c r="K4" s="8" t="s">
        <v>49</v>
      </c>
      <c r="L4" s="8" t="s">
        <v>50</v>
      </c>
    </row>
    <row r="5" customFormat="false" ht="15" hidden="false" customHeight="false" outlineLevel="0" collapsed="false">
      <c r="A5" s="9" t="s">
        <v>51</v>
      </c>
      <c r="B5" s="10" t="n">
        <v>6000</v>
      </c>
      <c r="C5" s="11" t="n">
        <v>320000</v>
      </c>
      <c r="D5" s="11" t="n">
        <v>1600</v>
      </c>
      <c r="E5" s="12" t="n">
        <f aca="false">IF(OR(C5="",C5=0),"",D5/C5)</f>
        <v>0.005</v>
      </c>
      <c r="F5" s="13" t="n">
        <f aca="false">IF(OR(D5="",D5=0),"",B5/D5)</f>
        <v>3.75</v>
      </c>
      <c r="G5" s="13" t="n">
        <f aca="false">IF(OR(C5="",C5=0),"",B5/C5*1000)</f>
        <v>18.75</v>
      </c>
      <c r="H5" s="11" t="n">
        <v>40</v>
      </c>
      <c r="I5" s="13" t="n">
        <f aca="false">IF(OR(H5="",H5=0),"",B5/H5)</f>
        <v>150</v>
      </c>
      <c r="J5" s="12" t="n">
        <f aca="false">IF(OR(D5="",D5=0),"",H5/D5)</f>
        <v>0.025</v>
      </c>
      <c r="K5" s="14" t="n">
        <v>0.018</v>
      </c>
      <c r="L5" s="11" t="n">
        <v>12</v>
      </c>
    </row>
    <row r="6" customFormat="false" ht="15" hidden="false" customHeight="false" outlineLevel="0" collapsed="false">
      <c r="A6" s="9" t="s">
        <v>52</v>
      </c>
      <c r="B6" s="10" t="n">
        <v>7200</v>
      </c>
      <c r="C6" s="11" t="n">
        <v>360000</v>
      </c>
      <c r="D6" s="11" t="n">
        <v>1980</v>
      </c>
      <c r="E6" s="12" t="n">
        <f aca="false">IF(OR(C6="",C6=0),"",D6/C6)</f>
        <v>0.0055</v>
      </c>
      <c r="F6" s="13" t="n">
        <f aca="false">IF(OR(D6="",D6=0),"",B6/D6)</f>
        <v>3.63636363636364</v>
      </c>
      <c r="G6" s="13" t="n">
        <f aca="false">IF(OR(C6="",C6=0),"",B6/C6*1000)</f>
        <v>20</v>
      </c>
      <c r="H6" s="11" t="n">
        <v>52</v>
      </c>
      <c r="I6" s="13" t="n">
        <f aca="false">IF(OR(H6="",H6=0),"",B6/H6)</f>
        <v>138.461538461538</v>
      </c>
      <c r="J6" s="12" t="n">
        <f aca="false">IF(OR(D6="",D6=0),"",H6/D6)</f>
        <v>0.0262626262626263</v>
      </c>
      <c r="K6" s="14" t="n">
        <v>0.02</v>
      </c>
      <c r="L6" s="11" t="n">
        <v>16</v>
      </c>
    </row>
    <row r="7" customFormat="false" ht="15" hidden="false" customHeight="false" outlineLevel="0" collapsed="false">
      <c r="A7" s="9" t="s">
        <v>53</v>
      </c>
      <c r="B7" s="10" t="n">
        <v>8500</v>
      </c>
      <c r="C7" s="11" t="n">
        <v>410000</v>
      </c>
      <c r="D7" s="11" t="n">
        <v>2300</v>
      </c>
      <c r="E7" s="12" t="n">
        <f aca="false">IF(OR(C7="",C7=0),"",D7/C7)</f>
        <v>0.00560975609756098</v>
      </c>
      <c r="F7" s="13" t="n">
        <f aca="false">IF(OR(D7="",D7=0),"",B7/D7)</f>
        <v>3.69565217391304</v>
      </c>
      <c r="G7" s="13" t="n">
        <f aca="false">IF(OR(C7="",C7=0),"",B7/C7*1000)</f>
        <v>20.7317073170732</v>
      </c>
      <c r="H7" s="11" t="n">
        <v>63</v>
      </c>
      <c r="I7" s="13" t="n">
        <f aca="false">IF(OR(H7="",H7=0),"",B7/H7)</f>
        <v>134.920634920635</v>
      </c>
      <c r="J7" s="12" t="n">
        <f aca="false">IF(OR(D7="",D7=0),"",H7/D7)</f>
        <v>0.0273913043478261</v>
      </c>
      <c r="K7" s="14" t="n">
        <v>0.021</v>
      </c>
      <c r="L7" s="11" t="n">
        <v>20</v>
      </c>
    </row>
    <row r="8" customFormat="false" ht="15" hidden="false" customHeight="false" outlineLevel="0" collapsed="false">
      <c r="A8" s="9" t="s">
        <v>54</v>
      </c>
      <c r="B8" s="10"/>
      <c r="C8" s="11"/>
      <c r="D8" s="11"/>
      <c r="E8" s="12" t="str">
        <f aca="false">IF(OR(C8="",C8=0),"",D8/C8)</f>
        <v/>
      </c>
      <c r="F8" s="13" t="str">
        <f aca="false">IF(OR(D8="",D8=0),"",B8/D8)</f>
        <v/>
      </c>
      <c r="G8" s="13" t="str">
        <f aca="false">IF(OR(C8="",C8=0),"",B8/C8*1000)</f>
        <v/>
      </c>
      <c r="H8" s="11"/>
      <c r="I8" s="13" t="str">
        <f aca="false">IF(OR(H8="",H8=0),"",B8/H8)</f>
        <v/>
      </c>
      <c r="J8" s="12" t="str">
        <f aca="false">IF(OR(D8="",D8=0),"",H8/D8)</f>
        <v/>
      </c>
      <c r="K8" s="14"/>
      <c r="L8" s="11"/>
    </row>
    <row r="9" customFormat="false" ht="15" hidden="false" customHeight="false" outlineLevel="0" collapsed="false">
      <c r="A9" s="9" t="s">
        <v>55</v>
      </c>
      <c r="B9" s="10"/>
      <c r="C9" s="11"/>
      <c r="D9" s="11"/>
      <c r="E9" s="12" t="str">
        <f aca="false">IF(OR(C9="",C9=0),"",D9/C9)</f>
        <v/>
      </c>
      <c r="F9" s="13" t="str">
        <f aca="false">IF(OR(D9="",D9=0),"",B9/D9)</f>
        <v/>
      </c>
      <c r="G9" s="13" t="str">
        <f aca="false">IF(OR(C9="",C9=0),"",B9/C9*1000)</f>
        <v/>
      </c>
      <c r="H9" s="11"/>
      <c r="I9" s="13" t="str">
        <f aca="false">IF(OR(H9="",H9=0),"",B9/H9)</f>
        <v/>
      </c>
      <c r="J9" s="12" t="str">
        <f aca="false">IF(OR(D9="",D9=0),"",H9/D9)</f>
        <v/>
      </c>
      <c r="K9" s="14"/>
      <c r="L9" s="11"/>
    </row>
    <row r="10" customFormat="false" ht="15" hidden="false" customHeight="false" outlineLevel="0" collapsed="false">
      <c r="A10" s="9" t="s">
        <v>56</v>
      </c>
      <c r="B10" s="10"/>
      <c r="C10" s="11"/>
      <c r="D10" s="11"/>
      <c r="E10" s="12" t="str">
        <f aca="false">IF(OR(C10="",C10=0),"",D10/C10)</f>
        <v/>
      </c>
      <c r="F10" s="13" t="str">
        <f aca="false">IF(OR(D10="",D10=0),"",B10/D10)</f>
        <v/>
      </c>
      <c r="G10" s="13" t="str">
        <f aca="false">IF(OR(C10="",C10=0),"",B10/C10*1000)</f>
        <v/>
      </c>
      <c r="H10" s="11"/>
      <c r="I10" s="13" t="str">
        <f aca="false">IF(OR(H10="",H10=0),"",B10/H10)</f>
        <v/>
      </c>
      <c r="J10" s="12" t="str">
        <f aca="false">IF(OR(D10="",D10=0),"",H10/D10)</f>
        <v/>
      </c>
      <c r="K10" s="14"/>
      <c r="L10" s="11"/>
    </row>
    <row r="11" customFormat="false" ht="15" hidden="false" customHeight="false" outlineLevel="0" collapsed="false">
      <c r="A11" s="9" t="s">
        <v>57</v>
      </c>
      <c r="B11" s="10"/>
      <c r="C11" s="11"/>
      <c r="D11" s="11"/>
      <c r="E11" s="12" t="str">
        <f aca="false">IF(OR(C11="",C11=0),"",D11/C11)</f>
        <v/>
      </c>
      <c r="F11" s="13" t="str">
        <f aca="false">IF(OR(D11="",D11=0),"",B11/D11)</f>
        <v/>
      </c>
      <c r="G11" s="13" t="str">
        <f aca="false">IF(OR(C11="",C11=0),"",B11/C11*1000)</f>
        <v/>
      </c>
      <c r="H11" s="11"/>
      <c r="I11" s="13" t="str">
        <f aca="false">IF(OR(H11="",H11=0),"",B11/H11)</f>
        <v/>
      </c>
      <c r="J11" s="12" t="str">
        <f aca="false">IF(OR(D11="",D11=0),"",H11/D11)</f>
        <v/>
      </c>
      <c r="K11" s="14"/>
      <c r="L11" s="11"/>
    </row>
    <row r="12" customFormat="false" ht="15" hidden="false" customHeight="false" outlineLevel="0" collapsed="false">
      <c r="A12" s="9" t="s">
        <v>58</v>
      </c>
      <c r="B12" s="10"/>
      <c r="C12" s="11"/>
      <c r="D12" s="11"/>
      <c r="E12" s="12" t="str">
        <f aca="false">IF(OR(C12="",C12=0),"",D12/C12)</f>
        <v/>
      </c>
      <c r="F12" s="13" t="str">
        <f aca="false">IF(OR(D12="",D12=0),"",B12/D12)</f>
        <v/>
      </c>
      <c r="G12" s="13" t="str">
        <f aca="false">IF(OR(C12="",C12=0),"",B12/C12*1000)</f>
        <v/>
      </c>
      <c r="H12" s="11"/>
      <c r="I12" s="13" t="str">
        <f aca="false">IF(OR(H12="",H12=0),"",B12/H12)</f>
        <v/>
      </c>
      <c r="J12" s="12" t="str">
        <f aca="false">IF(OR(D12="",D12=0),"",H12/D12)</f>
        <v/>
      </c>
      <c r="K12" s="14"/>
      <c r="L12" s="11"/>
    </row>
    <row r="13" customFormat="false" ht="15" hidden="false" customHeight="false" outlineLevel="0" collapsed="false">
      <c r="A13" s="9" t="s">
        <v>59</v>
      </c>
      <c r="B13" s="10"/>
      <c r="C13" s="11"/>
      <c r="D13" s="11"/>
      <c r="E13" s="12" t="str">
        <f aca="false">IF(OR(C13="",C13=0),"",D13/C13)</f>
        <v/>
      </c>
      <c r="F13" s="13" t="str">
        <f aca="false">IF(OR(D13="",D13=0),"",B13/D13)</f>
        <v/>
      </c>
      <c r="G13" s="13" t="str">
        <f aca="false">IF(OR(C13="",C13=0),"",B13/C13*1000)</f>
        <v/>
      </c>
      <c r="H13" s="11"/>
      <c r="I13" s="13" t="str">
        <f aca="false">IF(OR(H13="",H13=0),"",B13/H13)</f>
        <v/>
      </c>
      <c r="J13" s="12" t="str">
        <f aca="false">IF(OR(D13="",D13=0),"",H13/D13)</f>
        <v/>
      </c>
      <c r="K13" s="14"/>
      <c r="L13" s="11"/>
    </row>
    <row r="14" customFormat="false" ht="15" hidden="false" customHeight="false" outlineLevel="0" collapsed="false">
      <c r="A14" s="9" t="s">
        <v>60</v>
      </c>
      <c r="B14" s="10"/>
      <c r="C14" s="11"/>
      <c r="D14" s="11"/>
      <c r="E14" s="12" t="str">
        <f aca="false">IF(OR(C14="",C14=0),"",D14/C14)</f>
        <v/>
      </c>
      <c r="F14" s="13" t="str">
        <f aca="false">IF(OR(D14="",D14=0),"",B14/D14)</f>
        <v/>
      </c>
      <c r="G14" s="13" t="str">
        <f aca="false">IF(OR(C14="",C14=0),"",B14/C14*1000)</f>
        <v/>
      </c>
      <c r="H14" s="11"/>
      <c r="I14" s="13" t="str">
        <f aca="false">IF(OR(H14="",H14=0),"",B14/H14)</f>
        <v/>
      </c>
      <c r="J14" s="12" t="str">
        <f aca="false">IF(OR(D14="",D14=0),"",H14/D14)</f>
        <v/>
      </c>
      <c r="K14" s="14"/>
      <c r="L14" s="11"/>
    </row>
    <row r="15" customFormat="false" ht="15" hidden="false" customHeight="false" outlineLevel="0" collapsed="false">
      <c r="A15" s="9" t="s">
        <v>61</v>
      </c>
      <c r="B15" s="10"/>
      <c r="C15" s="11"/>
      <c r="D15" s="11"/>
      <c r="E15" s="12" t="str">
        <f aca="false">IF(OR(C15="",C15=0),"",D15/C15)</f>
        <v/>
      </c>
      <c r="F15" s="13" t="str">
        <f aca="false">IF(OR(D15="",D15=0),"",B15/D15)</f>
        <v/>
      </c>
      <c r="G15" s="13" t="str">
        <f aca="false">IF(OR(C15="",C15=0),"",B15/C15*1000)</f>
        <v/>
      </c>
      <c r="H15" s="11"/>
      <c r="I15" s="13" t="str">
        <f aca="false">IF(OR(H15="",H15=0),"",B15/H15)</f>
        <v/>
      </c>
      <c r="J15" s="12" t="str">
        <f aca="false">IF(OR(D15="",D15=0),"",H15/D15)</f>
        <v/>
      </c>
      <c r="K15" s="14"/>
      <c r="L15" s="11"/>
    </row>
    <row r="16" customFormat="false" ht="15" hidden="false" customHeight="false" outlineLevel="0" collapsed="false">
      <c r="A16" s="9" t="s">
        <v>62</v>
      </c>
      <c r="B16" s="10"/>
      <c r="C16" s="11"/>
      <c r="D16" s="11"/>
      <c r="E16" s="12" t="str">
        <f aca="false">IF(OR(C16="",C16=0),"",D16/C16)</f>
        <v/>
      </c>
      <c r="F16" s="13" t="str">
        <f aca="false">IF(OR(D16="",D16=0),"",B16/D16)</f>
        <v/>
      </c>
      <c r="G16" s="13" t="str">
        <f aca="false">IF(OR(C16="",C16=0),"",B16/C16*1000)</f>
        <v/>
      </c>
      <c r="H16" s="11"/>
      <c r="I16" s="13" t="str">
        <f aca="false">IF(OR(H16="",H16=0),"",B16/H16)</f>
        <v/>
      </c>
      <c r="J16" s="12" t="str">
        <f aca="false">IF(OR(D16="",D16=0),"",H16/D16)</f>
        <v/>
      </c>
      <c r="K16" s="14"/>
      <c r="L16" s="11"/>
    </row>
    <row r="17" customFormat="false" ht="15" hidden="false" customHeight="false" outlineLevel="0" collapsed="false">
      <c r="A17" s="9" t="s">
        <v>63</v>
      </c>
      <c r="B17" s="10"/>
      <c r="C17" s="11"/>
      <c r="D17" s="11"/>
      <c r="E17" s="12" t="str">
        <f aca="false">IF(OR(C17="",C17=0),"",D17/C17)</f>
        <v/>
      </c>
      <c r="F17" s="13" t="str">
        <f aca="false">IF(OR(D17="",D17=0),"",B17/D17)</f>
        <v/>
      </c>
      <c r="G17" s="13" t="str">
        <f aca="false">IF(OR(C17="",C17=0),"",B17/C17*1000)</f>
        <v/>
      </c>
      <c r="H17" s="11"/>
      <c r="I17" s="13" t="str">
        <f aca="false">IF(OR(H17="",H17=0),"",B17/H17)</f>
        <v/>
      </c>
      <c r="J17" s="12" t="str">
        <f aca="false">IF(OR(D17="",D17=0),"",H17/D17)</f>
        <v/>
      </c>
      <c r="K17" s="14"/>
      <c r="L17" s="11"/>
    </row>
    <row r="18" customFormat="false" ht="15" hidden="false" customHeight="false" outlineLevel="0" collapsed="false">
      <c r="A18" s="9" t="s">
        <v>64</v>
      </c>
      <c r="B18" s="10"/>
      <c r="C18" s="11"/>
      <c r="D18" s="11"/>
      <c r="E18" s="12" t="str">
        <f aca="false">IF(OR(C18="",C18=0),"",D18/C18)</f>
        <v/>
      </c>
      <c r="F18" s="13" t="str">
        <f aca="false">IF(OR(D18="",D18=0),"",B18/D18)</f>
        <v/>
      </c>
      <c r="G18" s="13" t="str">
        <f aca="false">IF(OR(C18="",C18=0),"",B18/C18*1000)</f>
        <v/>
      </c>
      <c r="H18" s="11"/>
      <c r="I18" s="13" t="str">
        <f aca="false">IF(OR(H18="",H18=0),"",B18/H18)</f>
        <v/>
      </c>
      <c r="J18" s="12" t="str">
        <f aca="false">IF(OR(D18="",D18=0),"",H18/D18)</f>
        <v/>
      </c>
      <c r="K18" s="14"/>
      <c r="L18" s="11"/>
    </row>
    <row r="19" customFormat="false" ht="15" hidden="false" customHeight="false" outlineLevel="0" collapsed="false">
      <c r="A19" s="9" t="s">
        <v>65</v>
      </c>
      <c r="B19" s="10"/>
      <c r="C19" s="11"/>
      <c r="D19" s="11"/>
      <c r="E19" s="12" t="str">
        <f aca="false">IF(OR(C19="",C19=0),"",D19/C19)</f>
        <v/>
      </c>
      <c r="F19" s="13" t="str">
        <f aca="false">IF(OR(D19="",D19=0),"",B19/D19)</f>
        <v/>
      </c>
      <c r="G19" s="13" t="str">
        <f aca="false">IF(OR(C19="",C19=0),"",B19/C19*1000)</f>
        <v/>
      </c>
      <c r="H19" s="11"/>
      <c r="I19" s="13" t="str">
        <f aca="false">IF(OR(H19="",H19=0),"",B19/H19)</f>
        <v/>
      </c>
      <c r="J19" s="12" t="str">
        <f aca="false">IF(OR(D19="",D19=0),"",H19/D19)</f>
        <v/>
      </c>
      <c r="K19" s="14"/>
      <c r="L19" s="11"/>
    </row>
    <row r="20" customFormat="false" ht="15" hidden="false" customHeight="false" outlineLevel="0" collapsed="false">
      <c r="A20" s="9" t="s">
        <v>66</v>
      </c>
      <c r="B20" s="10"/>
      <c r="C20" s="11"/>
      <c r="D20" s="11"/>
      <c r="E20" s="12" t="str">
        <f aca="false">IF(OR(C20="",C20=0),"",D20/C20)</f>
        <v/>
      </c>
      <c r="F20" s="13" t="str">
        <f aca="false">IF(OR(D20="",D20=0),"",B20/D20)</f>
        <v/>
      </c>
      <c r="G20" s="13" t="str">
        <f aca="false">IF(OR(C20="",C20=0),"",B20/C20*1000)</f>
        <v/>
      </c>
      <c r="H20" s="11"/>
      <c r="I20" s="13" t="str">
        <f aca="false">IF(OR(H20="",H20=0),"",B20/H20)</f>
        <v/>
      </c>
      <c r="J20" s="12" t="str">
        <f aca="false">IF(OR(D20="",D20=0),"",H20/D20)</f>
        <v/>
      </c>
      <c r="K20" s="14"/>
      <c r="L20" s="11"/>
    </row>
    <row r="21" customFormat="false" ht="15" hidden="false" customHeight="false" outlineLevel="0" collapsed="false">
      <c r="A21" s="9" t="s">
        <v>67</v>
      </c>
      <c r="B21" s="10"/>
      <c r="C21" s="11"/>
      <c r="D21" s="11"/>
      <c r="E21" s="12" t="str">
        <f aca="false">IF(OR(C21="",C21=0),"",D21/C21)</f>
        <v/>
      </c>
      <c r="F21" s="13" t="str">
        <f aca="false">IF(OR(D21="",D21=0),"",B21/D21)</f>
        <v/>
      </c>
      <c r="G21" s="13" t="str">
        <f aca="false">IF(OR(C21="",C21=0),"",B21/C21*1000)</f>
        <v/>
      </c>
      <c r="H21" s="11"/>
      <c r="I21" s="13" t="str">
        <f aca="false">IF(OR(H21="",H21=0),"",B21/H21)</f>
        <v/>
      </c>
      <c r="J21" s="12" t="str">
        <f aca="false">IF(OR(D21="",D21=0),"",H21/D21)</f>
        <v/>
      </c>
      <c r="K21" s="14"/>
      <c r="L21" s="11"/>
    </row>
    <row r="22" customFormat="false" ht="15" hidden="false" customHeight="false" outlineLevel="0" collapsed="false">
      <c r="A22" s="9" t="s">
        <v>68</v>
      </c>
      <c r="B22" s="10"/>
      <c r="C22" s="11"/>
      <c r="D22" s="11"/>
      <c r="E22" s="12" t="str">
        <f aca="false">IF(OR(C22="",C22=0),"",D22/C22)</f>
        <v/>
      </c>
      <c r="F22" s="13" t="str">
        <f aca="false">IF(OR(D22="",D22=0),"",B22/D22)</f>
        <v/>
      </c>
      <c r="G22" s="13" t="str">
        <f aca="false">IF(OR(C22="",C22=0),"",B22/C22*1000)</f>
        <v/>
      </c>
      <c r="H22" s="11"/>
      <c r="I22" s="13" t="str">
        <f aca="false">IF(OR(H22="",H22=0),"",B22/H22)</f>
        <v/>
      </c>
      <c r="J22" s="12" t="str">
        <f aca="false">IF(OR(D22="",D22=0),"",H22/D22)</f>
        <v/>
      </c>
      <c r="K22" s="14"/>
      <c r="L22" s="11"/>
    </row>
    <row r="23" customFormat="false" ht="15" hidden="false" customHeight="false" outlineLevel="0" collapsed="false">
      <c r="A23" s="9" t="s">
        <v>69</v>
      </c>
      <c r="B23" s="10"/>
      <c r="C23" s="11"/>
      <c r="D23" s="11"/>
      <c r="E23" s="12" t="str">
        <f aca="false">IF(OR(C23="",C23=0),"",D23/C23)</f>
        <v/>
      </c>
      <c r="F23" s="13" t="str">
        <f aca="false">IF(OR(D23="",D23=0),"",B23/D23)</f>
        <v/>
      </c>
      <c r="G23" s="13" t="str">
        <f aca="false">IF(OR(C23="",C23=0),"",B23/C23*1000)</f>
        <v/>
      </c>
      <c r="H23" s="11"/>
      <c r="I23" s="13" t="str">
        <f aca="false">IF(OR(H23="",H23=0),"",B23/H23)</f>
        <v/>
      </c>
      <c r="J23" s="12" t="str">
        <f aca="false">IF(OR(D23="",D23=0),"",H23/D23)</f>
        <v/>
      </c>
      <c r="K23" s="14"/>
      <c r="L23" s="11"/>
    </row>
    <row r="24" customFormat="false" ht="15" hidden="false" customHeight="false" outlineLevel="0" collapsed="false">
      <c r="A24" s="9" t="s">
        <v>70</v>
      </c>
      <c r="B24" s="10"/>
      <c r="C24" s="11"/>
      <c r="D24" s="11"/>
      <c r="E24" s="12" t="str">
        <f aca="false">IF(OR(C24="",C24=0),"",D24/C24)</f>
        <v/>
      </c>
      <c r="F24" s="13" t="str">
        <f aca="false">IF(OR(D24="",D24=0),"",B24/D24)</f>
        <v/>
      </c>
      <c r="G24" s="13" t="str">
        <f aca="false">IF(OR(C24="",C24=0),"",B24/C24*1000)</f>
        <v/>
      </c>
      <c r="H24" s="11"/>
      <c r="I24" s="13" t="str">
        <f aca="false">IF(OR(H24="",H24=0),"",B24/H24)</f>
        <v/>
      </c>
      <c r="J24" s="12" t="str">
        <f aca="false">IF(OR(D24="",D24=0),"",H24/D24)</f>
        <v/>
      </c>
      <c r="K24" s="14"/>
      <c r="L24" s="11"/>
    </row>
    <row r="25" customFormat="false" ht="15" hidden="false" customHeight="false" outlineLevel="0" collapsed="false">
      <c r="A25" s="9" t="s">
        <v>71</v>
      </c>
      <c r="B25" s="10"/>
      <c r="C25" s="11"/>
      <c r="D25" s="11"/>
      <c r="E25" s="12" t="str">
        <f aca="false">IF(OR(C25="",C25=0),"",D25/C25)</f>
        <v/>
      </c>
      <c r="F25" s="13" t="str">
        <f aca="false">IF(OR(D25="",D25=0),"",B25/D25)</f>
        <v/>
      </c>
      <c r="G25" s="13" t="str">
        <f aca="false">IF(OR(C25="",C25=0),"",B25/C25*1000)</f>
        <v/>
      </c>
      <c r="H25" s="11"/>
      <c r="I25" s="13" t="str">
        <f aca="false">IF(OR(H25="",H25=0),"",B25/H25)</f>
        <v/>
      </c>
      <c r="J25" s="12" t="str">
        <f aca="false">IF(OR(D25="",D25=0),"",H25/D25)</f>
        <v/>
      </c>
      <c r="K25" s="14"/>
      <c r="L25" s="11"/>
    </row>
    <row r="26" customFormat="false" ht="15" hidden="false" customHeight="false" outlineLevel="0" collapsed="false">
      <c r="A26" s="9" t="s">
        <v>72</v>
      </c>
      <c r="B26" s="10"/>
      <c r="C26" s="11"/>
      <c r="D26" s="11"/>
      <c r="E26" s="12" t="str">
        <f aca="false">IF(OR(C26="",C26=0),"",D26/C26)</f>
        <v/>
      </c>
      <c r="F26" s="13" t="str">
        <f aca="false">IF(OR(D26="",D26=0),"",B26/D26)</f>
        <v/>
      </c>
      <c r="G26" s="13" t="str">
        <f aca="false">IF(OR(C26="",C26=0),"",B26/C26*1000)</f>
        <v/>
      </c>
      <c r="H26" s="11"/>
      <c r="I26" s="13" t="str">
        <f aca="false">IF(OR(H26="",H26=0),"",B26/H26)</f>
        <v/>
      </c>
      <c r="J26" s="12" t="str">
        <f aca="false">IF(OR(D26="",D26=0),"",H26/D26)</f>
        <v/>
      </c>
      <c r="K26" s="14"/>
      <c r="L26" s="11"/>
    </row>
    <row r="27" customFormat="false" ht="15" hidden="false" customHeight="false" outlineLevel="0" collapsed="false">
      <c r="A27" s="9" t="s">
        <v>73</v>
      </c>
      <c r="B27" s="10"/>
      <c r="C27" s="11"/>
      <c r="D27" s="11"/>
      <c r="E27" s="12" t="str">
        <f aca="false">IF(OR(C27="",C27=0),"",D27/C27)</f>
        <v/>
      </c>
      <c r="F27" s="13" t="str">
        <f aca="false">IF(OR(D27="",D27=0),"",B27/D27)</f>
        <v/>
      </c>
      <c r="G27" s="13" t="str">
        <f aca="false">IF(OR(C27="",C27=0),"",B27/C27*1000)</f>
        <v/>
      </c>
      <c r="H27" s="11"/>
      <c r="I27" s="13" t="str">
        <f aca="false">IF(OR(H27="",H27=0),"",B27/H27)</f>
        <v/>
      </c>
      <c r="J27" s="12" t="str">
        <f aca="false">IF(OR(D27="",D27=0),"",H27/D27)</f>
        <v/>
      </c>
      <c r="K27" s="14"/>
      <c r="L27" s="11"/>
    </row>
    <row r="28" customFormat="false" ht="15" hidden="false" customHeight="false" outlineLevel="0" collapsed="false">
      <c r="A28" s="9" t="s">
        <v>74</v>
      </c>
      <c r="B28" s="10"/>
      <c r="C28" s="11"/>
      <c r="D28" s="11"/>
      <c r="E28" s="12" t="str">
        <f aca="false">IF(OR(C28="",C28=0),"",D28/C28)</f>
        <v/>
      </c>
      <c r="F28" s="13" t="str">
        <f aca="false">IF(OR(D28="",D28=0),"",B28/D28)</f>
        <v/>
      </c>
      <c r="G28" s="13" t="str">
        <f aca="false">IF(OR(C28="",C28=0),"",B28/C28*1000)</f>
        <v/>
      </c>
      <c r="H28" s="11"/>
      <c r="I28" s="13" t="str">
        <f aca="false">IF(OR(H28="",H28=0),"",B28/H28)</f>
        <v/>
      </c>
      <c r="J28" s="12" t="str">
        <f aca="false">IF(OR(D28="",D28=0),"",H28/D28)</f>
        <v/>
      </c>
      <c r="K28" s="14"/>
      <c r="L28" s="11"/>
    </row>
    <row r="30" customFormat="false" ht="45.75" hidden="false" customHeight="true" outlineLevel="0" collapsed="false">
      <c r="A30" s="15" t="s">
        <v>75</v>
      </c>
      <c r="B30" s="15"/>
      <c r="C30" s="15"/>
      <c r="D30" s="15"/>
      <c r="E30" s="15"/>
      <c r="F30" s="15"/>
      <c r="G30" s="15"/>
      <c r="H30" s="15"/>
      <c r="I30" s="15"/>
      <c r="J30" s="15"/>
      <c r="K30" s="15"/>
      <c r="L30" s="15"/>
    </row>
    <row r="31" customFormat="false" ht="15" hidden="false" customHeight="false" outlineLevel="0" collapsed="false">
      <c r="A31" s="15"/>
      <c r="B31" s="15"/>
      <c r="C31" s="15"/>
      <c r="D31" s="15"/>
      <c r="E31" s="15"/>
      <c r="F31" s="15"/>
      <c r="G31" s="15"/>
      <c r="H31" s="15"/>
      <c r="I31" s="15"/>
      <c r="J31" s="15"/>
      <c r="K31" s="15"/>
      <c r="L31" s="15"/>
    </row>
    <row r="32" customFormat="false" ht="15" hidden="false" customHeight="false" outlineLevel="0" collapsed="false">
      <c r="A32" s="15"/>
      <c r="B32" s="15"/>
      <c r="C32" s="15"/>
      <c r="D32" s="15"/>
      <c r="E32" s="15"/>
      <c r="F32" s="15"/>
      <c r="G32" s="15"/>
      <c r="H32" s="15"/>
      <c r="I32" s="15"/>
      <c r="J32" s="15"/>
      <c r="K32" s="15"/>
      <c r="L32" s="15"/>
    </row>
  </sheetData>
  <autoFilter ref="A4:L28"/>
  <mergeCells count="3">
    <mergeCell ref="A1:L1"/>
    <mergeCell ref="A2:L2"/>
    <mergeCell ref="A30:L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93C"/>
    <pageSetUpPr fitToPage="false"/>
  </sheetPr>
  <dimension ref="A1:P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3" min="2" style="0" width="16"/>
    <col collapsed="false" customWidth="true" hidden="false" outlineLevel="0" max="4" min="4" style="0" width="12"/>
    <col collapsed="false" customWidth="true" hidden="false" outlineLevel="0" max="5" min="5" style="0" width="4"/>
  </cols>
  <sheetData>
    <row r="1" customFormat="false" ht="30" hidden="false" customHeight="true" outlineLevel="0" collapsed="false">
      <c r="A1" s="1" t="s">
        <v>76</v>
      </c>
      <c r="B1" s="1"/>
      <c r="C1" s="1"/>
      <c r="D1" s="1"/>
      <c r="E1" s="1"/>
      <c r="P1" s="16" t="n">
        <f aca="false">IFERROR(MATCH($B$4,'Account Summary'!$A$5:$A$28,0),1)</f>
        <v>3</v>
      </c>
    </row>
    <row r="2" customFormat="false" ht="18" hidden="false" customHeight="true" outlineLevel="0" collapsed="false">
      <c r="A2" s="2" t="s">
        <v>77</v>
      </c>
      <c r="B2" s="2"/>
      <c r="C2" s="2"/>
      <c r="D2" s="2"/>
      <c r="E2" s="2"/>
    </row>
    <row r="4" customFormat="false" ht="15" hidden="false" customHeight="false" outlineLevel="0" collapsed="false">
      <c r="A4" s="17" t="s">
        <v>78</v>
      </c>
      <c r="B4" s="18" t="s">
        <v>53</v>
      </c>
    </row>
    <row r="6" customFormat="false" ht="27.75" hidden="false" customHeight="true" outlineLevel="0" collapsed="false">
      <c r="A6" s="8" t="s">
        <v>79</v>
      </c>
      <c r="B6" s="8" t="s">
        <v>80</v>
      </c>
      <c r="C6" s="8" t="s">
        <v>81</v>
      </c>
      <c r="D6" s="8" t="s">
        <v>82</v>
      </c>
    </row>
    <row r="7" customFormat="false" ht="15" hidden="false" customHeight="false" outlineLevel="0" collapsed="false">
      <c r="A7" s="19" t="s">
        <v>40</v>
      </c>
      <c r="B7" s="20" t="n">
        <f aca="false">IFERROR(INDEX('Account Summary'!$B$5:$B$28,$P$1),"")</f>
        <v>8500</v>
      </c>
      <c r="C7" s="20" t="n">
        <f aca="false">IFERROR(IF($P$1&lt;=1,"",INDEX('Account Summary'!$B$5:$B$28,$P$1-1)),"")</f>
        <v>7200</v>
      </c>
      <c r="D7" s="21" t="n">
        <f aca="false">IF(OR(C7="",C7=0,B7=""),"",(B7-C7)/C7)</f>
        <v>0.180555555555556</v>
      </c>
    </row>
    <row r="8" customFormat="false" ht="15" hidden="false" customHeight="false" outlineLevel="0" collapsed="false">
      <c r="A8" s="19" t="s">
        <v>41</v>
      </c>
      <c r="B8" s="22" t="n">
        <f aca="false">IFERROR(INDEX('Account Summary'!$C$5:$C$28,$P$1),"")</f>
        <v>410000</v>
      </c>
      <c r="C8" s="22" t="n">
        <f aca="false">IFERROR(IF($P$1&lt;=1,"",INDEX('Account Summary'!$C$5:$C$28,$P$1-1)),"")</f>
        <v>360000</v>
      </c>
      <c r="D8" s="21" t="n">
        <f aca="false">IF(OR(C8="",C8=0,B8=""),"",(B8-C8)/C8)</f>
        <v>0.138888888888889</v>
      </c>
    </row>
    <row r="9" customFormat="false" ht="15" hidden="false" customHeight="false" outlineLevel="0" collapsed="false">
      <c r="A9" s="19" t="s">
        <v>42</v>
      </c>
      <c r="B9" s="22" t="n">
        <f aca="false">IFERROR(INDEX('Account Summary'!$D$5:$D$28,$P$1),"")</f>
        <v>2300</v>
      </c>
      <c r="C9" s="22" t="n">
        <f aca="false">IFERROR(IF($P$1&lt;=1,"",INDEX('Account Summary'!$D$5:$D$28,$P$1-1)),"")</f>
        <v>1980</v>
      </c>
      <c r="D9" s="21" t="n">
        <f aca="false">IF(OR(C9="",C9=0,B9=""),"",(B9-C9)/C9)</f>
        <v>0.161616161616162</v>
      </c>
    </row>
    <row r="10" customFormat="false" ht="15" hidden="false" customHeight="false" outlineLevel="0" collapsed="false">
      <c r="A10" s="19" t="s">
        <v>43</v>
      </c>
      <c r="B10" s="23" t="n">
        <f aca="false">IFERROR(INDEX('Account Summary'!$E$5:$E$28,$P$1),"")</f>
        <v>0.00560975609756098</v>
      </c>
      <c r="C10" s="23" t="n">
        <f aca="false">IFERROR(IF($P$1&lt;=1,"",INDEX('Account Summary'!$E$5:$E$28,$P$1-1)),"")</f>
        <v>0.0055</v>
      </c>
      <c r="D10" s="21" t="n">
        <f aca="false">IF(OR(C10="",B10=""),"",B10-C10)</f>
        <v>0.000109756097560976</v>
      </c>
    </row>
    <row r="11" customFormat="false" ht="15" hidden="false" customHeight="false" outlineLevel="0" collapsed="false">
      <c r="A11" s="19" t="s">
        <v>44</v>
      </c>
      <c r="B11" s="20" t="n">
        <f aca="false">IFERROR(INDEX('Account Summary'!$F$5:$F$28,$P$1),"")</f>
        <v>3.69565217391304</v>
      </c>
      <c r="C11" s="20" t="n">
        <f aca="false">IFERROR(IF($P$1&lt;=1,"",INDEX('Account Summary'!$F$5:$F$28,$P$1-1)),"")</f>
        <v>3.63636363636364</v>
      </c>
      <c r="D11" s="21" t="n">
        <f aca="false">IF(OR(C11="",C11=0,B11=""),"",(B11-C11)/C11)</f>
        <v>0.016304347826087</v>
      </c>
    </row>
    <row r="12" customFormat="false" ht="15" hidden="false" customHeight="false" outlineLevel="0" collapsed="false">
      <c r="A12" s="19" t="s">
        <v>45</v>
      </c>
      <c r="B12" s="20" t="n">
        <f aca="false">IFERROR(INDEX('Account Summary'!$G$5:$G$28,$P$1),"")</f>
        <v>20.7317073170732</v>
      </c>
      <c r="C12" s="20" t="n">
        <f aca="false">IFERROR(IF($P$1&lt;=1,"",INDEX('Account Summary'!$G$5:$G$28,$P$1-1)),"")</f>
        <v>20</v>
      </c>
      <c r="D12" s="21" t="n">
        <f aca="false">IF(OR(C12="",C12=0,B12=""),"",(B12-C12)/C12)</f>
        <v>0.0365853658536587</v>
      </c>
    </row>
    <row r="13" customFormat="false" ht="15" hidden="false" customHeight="false" outlineLevel="0" collapsed="false">
      <c r="A13" s="19" t="s">
        <v>46</v>
      </c>
      <c r="B13" s="22" t="n">
        <f aca="false">IFERROR(INDEX('Account Summary'!$H$5:$H$28,$P$1),"")</f>
        <v>63</v>
      </c>
      <c r="C13" s="22" t="n">
        <f aca="false">IFERROR(IF($P$1&lt;=1,"",INDEX('Account Summary'!$H$5:$H$28,$P$1-1)),"")</f>
        <v>52</v>
      </c>
      <c r="D13" s="21" t="n">
        <f aca="false">IF(OR(C13="",C13=0,B13=""),"",(B13-C13)/C13)</f>
        <v>0.211538461538462</v>
      </c>
    </row>
    <row r="14" customFormat="false" ht="15" hidden="false" customHeight="false" outlineLevel="0" collapsed="false">
      <c r="A14" s="19" t="s">
        <v>47</v>
      </c>
      <c r="B14" s="20" t="n">
        <f aca="false">IFERROR(INDEX('Account Summary'!$I$5:$I$28,$P$1),"")</f>
        <v>134.920634920635</v>
      </c>
      <c r="C14" s="20" t="n">
        <f aca="false">IFERROR(IF($P$1&lt;=1,"",INDEX('Account Summary'!$I$5:$I$28,$P$1-1)),"")</f>
        <v>138.461538461538</v>
      </c>
      <c r="D14" s="21" t="n">
        <f aca="false">IF(OR(C14="",C14=0,B14=""),"",(B14-C14)/C14)</f>
        <v>-0.0255731922398589</v>
      </c>
    </row>
    <row r="15" customFormat="false" ht="15" hidden="false" customHeight="false" outlineLevel="0" collapsed="false">
      <c r="A15" s="19" t="s">
        <v>48</v>
      </c>
      <c r="B15" s="23" t="n">
        <f aca="false">IFERROR(INDEX('Account Summary'!$J$5:$J$28,$P$1),"")</f>
        <v>0.0273913043478261</v>
      </c>
      <c r="C15" s="23" t="n">
        <f aca="false">IFERROR(IF($P$1&lt;=1,"",INDEX('Account Summary'!$J$5:$J$28,$P$1-1)),"")</f>
        <v>0.0262626262626263</v>
      </c>
      <c r="D15" s="21" t="n">
        <f aca="false">IF(OR(C15="",B15=""),"",B15-C15)</f>
        <v>0.00112867808519982</v>
      </c>
    </row>
    <row r="16" customFormat="false" ht="15" hidden="false" customHeight="false" outlineLevel="0" collapsed="false">
      <c r="A16" s="19" t="s">
        <v>49</v>
      </c>
      <c r="B16" s="23" t="n">
        <f aca="false">IFERROR(INDEX('Account Summary'!$K$5:$K$28,$P$1),"")</f>
        <v>0.021</v>
      </c>
      <c r="C16" s="23" t="n">
        <f aca="false">IFERROR(IF($P$1&lt;=1,"",INDEX('Account Summary'!$K$5:$K$28,$P$1-1)),"")</f>
        <v>0.02</v>
      </c>
      <c r="D16" s="21" t="n">
        <f aca="false">IF(OR(C16="",B16=""),"",B16-C16)</f>
        <v>0.001</v>
      </c>
    </row>
    <row r="18" customFormat="false" ht="45.75" hidden="false" customHeight="true" outlineLevel="0" collapsed="false">
      <c r="A18" s="15" t="s">
        <v>83</v>
      </c>
      <c r="B18" s="15"/>
      <c r="C18" s="15"/>
      <c r="D18" s="15"/>
    </row>
    <row r="19" customFormat="false" ht="15" hidden="false" customHeight="false" outlineLevel="0" collapsed="false">
      <c r="A19" s="15"/>
      <c r="B19" s="15"/>
      <c r="C19" s="15"/>
      <c r="D19" s="15"/>
    </row>
    <row r="20" customFormat="false" ht="15" hidden="false" customHeight="false" outlineLevel="0" collapsed="false">
      <c r="A20" s="15"/>
      <c r="B20" s="15"/>
      <c r="C20" s="15"/>
      <c r="D20" s="15"/>
    </row>
  </sheetData>
  <mergeCells count="3">
    <mergeCell ref="A1:E1"/>
    <mergeCell ref="A2:E2"/>
    <mergeCell ref="A18:D20"/>
  </mergeCells>
  <dataValidations count="1">
    <dataValidation allowBlank="true" errorStyle="stop" operator="between" showDropDown="false" showErrorMessage="false" showInputMessage="false" sqref="B4" type="list">
      <formula1>'Account Summary'!$A$5:$A$28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Q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10"/>
    <col collapsed="false" customWidth="true" hidden="false" outlineLevel="0" max="4" min="4" style="0" width="12"/>
    <col collapsed="false" customWidth="true" hidden="false" outlineLevel="0" max="5" min="5" style="0" width="10"/>
    <col collapsed="false" customWidth="true" hidden="false" outlineLevel="0" max="6" min="6" style="0" width="12"/>
    <col collapsed="false" customWidth="true" hidden="false" outlineLevel="0" max="7" min="7" style="0" width="10"/>
    <col collapsed="false" customWidth="true" hidden="false" outlineLevel="0" max="8" min="8" style="0" width="12"/>
    <col collapsed="false" customWidth="true" hidden="false" outlineLevel="0" max="9" min="9" style="0" width="10"/>
    <col collapsed="false" customWidth="true" hidden="false" outlineLevel="0" max="10" min="10" style="0" width="12"/>
    <col collapsed="false" customWidth="true" hidden="false" outlineLevel="0" max="11" min="11" style="0" width="10"/>
    <col collapsed="false" customWidth="true" hidden="false" outlineLevel="0" max="12" min="12" style="0" width="12"/>
    <col collapsed="false" customWidth="true" hidden="false" outlineLevel="0" max="13" min="13" style="0" width="10"/>
    <col collapsed="false" customWidth="true" hidden="false" outlineLevel="0" max="14" min="14" style="0" width="12"/>
    <col collapsed="false" customWidth="true" hidden="false" outlineLevel="0" max="15" min="15" style="0" width="10"/>
    <col collapsed="false" customWidth="true" hidden="false" outlineLevel="0" max="16" min="16" style="0" width="12"/>
    <col collapsed="false" customWidth="true" hidden="false" outlineLevel="0" max="17" min="17" style="0" width="10"/>
  </cols>
  <sheetData>
    <row r="1" customFormat="false" ht="30" hidden="false" customHeight="true" outlineLevel="0" collapsed="false">
      <c r="A1" s="1" t="s">
        <v>84</v>
      </c>
      <c r="B1" s="1"/>
      <c r="C1" s="1"/>
      <c r="D1" s="1"/>
      <c r="E1" s="1"/>
      <c r="F1" s="1"/>
      <c r="G1" s="1"/>
      <c r="H1" s="1"/>
      <c r="I1" s="1"/>
      <c r="J1" s="1"/>
      <c r="K1" s="1"/>
      <c r="L1" s="1"/>
      <c r="M1" s="1"/>
      <c r="N1" s="1"/>
      <c r="O1" s="1"/>
      <c r="P1" s="1"/>
      <c r="Q1" s="1"/>
    </row>
    <row r="2" customFormat="false" ht="18" hidden="false" customHeight="true" outlineLevel="0" collapsed="false">
      <c r="A2" s="2" t="s">
        <v>85</v>
      </c>
      <c r="B2" s="2"/>
      <c r="C2" s="2"/>
      <c r="D2" s="2"/>
      <c r="E2" s="2"/>
      <c r="F2" s="2"/>
      <c r="G2" s="2"/>
      <c r="H2" s="2"/>
      <c r="I2" s="2"/>
      <c r="J2" s="2"/>
      <c r="K2" s="2"/>
      <c r="L2" s="2"/>
      <c r="M2" s="2"/>
      <c r="N2" s="2"/>
      <c r="O2" s="2"/>
      <c r="P2" s="2"/>
      <c r="Q2" s="2"/>
    </row>
    <row r="4" customFormat="false" ht="18" hidden="false" customHeight="true" outlineLevel="0" collapsed="false">
      <c r="A4" s="24" t="s">
        <v>39</v>
      </c>
      <c r="B4" s="24" t="s">
        <v>40</v>
      </c>
      <c r="C4" s="24"/>
      <c r="D4" s="24" t="s">
        <v>41</v>
      </c>
      <c r="E4" s="24"/>
      <c r="F4" s="24" t="s">
        <v>42</v>
      </c>
      <c r="G4" s="24"/>
      <c r="H4" s="24" t="s">
        <v>43</v>
      </c>
      <c r="I4" s="24"/>
      <c r="J4" s="24" t="s">
        <v>44</v>
      </c>
      <c r="K4" s="24"/>
      <c r="L4" s="24" t="s">
        <v>46</v>
      </c>
      <c r="M4" s="24"/>
      <c r="N4" s="24" t="s">
        <v>47</v>
      </c>
      <c r="O4" s="24"/>
      <c r="P4" s="24" t="s">
        <v>49</v>
      </c>
      <c r="Q4" s="24"/>
    </row>
    <row r="5" customFormat="false" ht="19.5" hidden="false" customHeight="true" outlineLevel="0" collapsed="false">
      <c r="A5" s="24"/>
      <c r="B5" s="24" t="s">
        <v>86</v>
      </c>
      <c r="C5" s="24" t="s">
        <v>87</v>
      </c>
      <c r="D5" s="24" t="s">
        <v>86</v>
      </c>
      <c r="E5" s="24" t="s">
        <v>87</v>
      </c>
      <c r="F5" s="24" t="s">
        <v>86</v>
      </c>
      <c r="G5" s="24" t="s">
        <v>87</v>
      </c>
      <c r="H5" s="24" t="s">
        <v>86</v>
      </c>
      <c r="I5" s="24" t="s">
        <v>88</v>
      </c>
      <c r="J5" s="24" t="s">
        <v>86</v>
      </c>
      <c r="K5" s="24" t="s">
        <v>87</v>
      </c>
      <c r="L5" s="24" t="s">
        <v>86</v>
      </c>
      <c r="M5" s="24" t="s">
        <v>87</v>
      </c>
      <c r="N5" s="24" t="s">
        <v>86</v>
      </c>
      <c r="O5" s="24" t="s">
        <v>87</v>
      </c>
      <c r="P5" s="24" t="s">
        <v>86</v>
      </c>
      <c r="Q5" s="24" t="s">
        <v>88</v>
      </c>
    </row>
    <row r="6" customFormat="false" ht="15" hidden="false" customHeight="false" outlineLevel="0" collapsed="false">
      <c r="A6" s="25" t="str">
        <f aca="false">'Account Summary'!A5</f>
        <v>Month 1</v>
      </c>
      <c r="B6" s="26" t="n">
        <f aca="false">IF('Account Summary'!B5="","",'Account Summary'!B5)</f>
        <v>6000</v>
      </c>
      <c r="C6" s="21" t="str">
        <f aca="false">"n/a"</f>
        <v>n/a</v>
      </c>
      <c r="D6" s="22" t="n">
        <f aca="false">IF('Account Summary'!C5="","",'Account Summary'!C5)</f>
        <v>320000</v>
      </c>
      <c r="E6" s="21" t="str">
        <f aca="false">"n/a"</f>
        <v>n/a</v>
      </c>
      <c r="F6" s="22" t="n">
        <f aca="false">IF('Account Summary'!D5="","",'Account Summary'!D5)</f>
        <v>1600</v>
      </c>
      <c r="G6" s="21" t="str">
        <f aca="false">"n/a"</f>
        <v>n/a</v>
      </c>
      <c r="H6" s="23" t="n">
        <f aca="false">IF('Account Summary'!E5="","",'Account Summary'!E5)</f>
        <v>0.005</v>
      </c>
      <c r="I6" s="27" t="str">
        <f aca="false">"n/a"</f>
        <v>n/a</v>
      </c>
      <c r="J6" s="20" t="n">
        <f aca="false">IF('Account Summary'!F5="","",'Account Summary'!F5)</f>
        <v>3.75</v>
      </c>
      <c r="K6" s="21" t="str">
        <f aca="false">"n/a"</f>
        <v>n/a</v>
      </c>
      <c r="L6" s="22" t="n">
        <f aca="false">IF('Account Summary'!H5="","",'Account Summary'!H5)</f>
        <v>40</v>
      </c>
      <c r="M6" s="21" t="str">
        <f aca="false">"n/a"</f>
        <v>n/a</v>
      </c>
      <c r="N6" s="20" t="n">
        <f aca="false">IF('Account Summary'!I5="","",'Account Summary'!I5)</f>
        <v>150</v>
      </c>
      <c r="O6" s="21" t="str">
        <f aca="false">"n/a"</f>
        <v>n/a</v>
      </c>
      <c r="P6" s="28" t="n">
        <f aca="false">IF('Account Summary'!K5="","",'Account Summary'!K5)</f>
        <v>0.018</v>
      </c>
      <c r="Q6" s="27" t="str">
        <f aca="false">"n/a"</f>
        <v>n/a</v>
      </c>
    </row>
    <row r="7" customFormat="false" ht="15" hidden="false" customHeight="false" outlineLevel="0" collapsed="false">
      <c r="A7" s="25" t="str">
        <f aca="false">'Account Summary'!A6</f>
        <v>Month 2</v>
      </c>
      <c r="B7" s="26" t="n">
        <f aca="false">IF('Account Summary'!B6="","",'Account Summary'!B6)</f>
        <v>7200</v>
      </c>
      <c r="C7" s="21" t="n">
        <f aca="false">IF(OR('Account Summary'!B6="",'Account Summary'!B5="",'Account Summary'!B5=0),"",('Account Summary'!B6-'Account Summary'!B5)/'Account Summary'!B5)</f>
        <v>0.2</v>
      </c>
      <c r="D7" s="22" t="n">
        <f aca="false">IF('Account Summary'!C6="","",'Account Summary'!C6)</f>
        <v>360000</v>
      </c>
      <c r="E7" s="21" t="n">
        <f aca="false">IF(OR('Account Summary'!C6="",'Account Summary'!C5="",'Account Summary'!C5=0),"",('Account Summary'!C6-'Account Summary'!C5)/'Account Summary'!C5)</f>
        <v>0.125</v>
      </c>
      <c r="F7" s="22" t="n">
        <f aca="false">IF('Account Summary'!D6="","",'Account Summary'!D6)</f>
        <v>1980</v>
      </c>
      <c r="G7" s="21" t="n">
        <f aca="false">IF(OR('Account Summary'!D6="",'Account Summary'!D5="",'Account Summary'!D5=0),"",('Account Summary'!D6-'Account Summary'!D5)/'Account Summary'!D5)</f>
        <v>0.2375</v>
      </c>
      <c r="H7" s="23" t="n">
        <f aca="false">IF('Account Summary'!E6="","",'Account Summary'!E6)</f>
        <v>0.0055</v>
      </c>
      <c r="I7" s="27" t="n">
        <f aca="false">IF(OR('Account Summary'!E6="",'Account Summary'!E5=""),"",'Account Summary'!E6-'Account Summary'!E5)</f>
        <v>0.0005</v>
      </c>
      <c r="J7" s="20" t="n">
        <f aca="false">IF('Account Summary'!F6="","",'Account Summary'!F6)</f>
        <v>3.63636363636364</v>
      </c>
      <c r="K7" s="21" t="n">
        <f aca="false">IF(OR('Account Summary'!F6="",'Account Summary'!F5="",'Account Summary'!F5=0),"",('Account Summary'!F6-'Account Summary'!F5)/'Account Summary'!F5)</f>
        <v>-0.0303030303030303</v>
      </c>
      <c r="L7" s="22" t="n">
        <f aca="false">IF('Account Summary'!H6="","",'Account Summary'!H6)</f>
        <v>52</v>
      </c>
      <c r="M7" s="21" t="n">
        <f aca="false">IF(OR('Account Summary'!H6="",'Account Summary'!H5="",'Account Summary'!H5=0),"",('Account Summary'!H6-'Account Summary'!H5)/'Account Summary'!H5)</f>
        <v>0.3</v>
      </c>
      <c r="N7" s="20" t="n">
        <f aca="false">IF('Account Summary'!I6="","",'Account Summary'!I6)</f>
        <v>138.461538461538</v>
      </c>
      <c r="O7" s="21" t="n">
        <f aca="false">IF(OR('Account Summary'!I6="",'Account Summary'!I5="",'Account Summary'!I5=0),"",('Account Summary'!I6-'Account Summary'!I5)/'Account Summary'!I5)</f>
        <v>-0.076923076923077</v>
      </c>
      <c r="P7" s="28" t="n">
        <f aca="false">IF('Account Summary'!K6="","",'Account Summary'!K6)</f>
        <v>0.02</v>
      </c>
      <c r="Q7" s="27" t="n">
        <f aca="false">IF(OR('Account Summary'!K6="",'Account Summary'!K5=""),"",'Account Summary'!K6-'Account Summary'!K5)</f>
        <v>0.002</v>
      </c>
    </row>
    <row r="8" customFormat="false" ht="15" hidden="false" customHeight="false" outlineLevel="0" collapsed="false">
      <c r="A8" s="25" t="str">
        <f aca="false">'Account Summary'!A7</f>
        <v>Month 3</v>
      </c>
      <c r="B8" s="26" t="n">
        <f aca="false">IF('Account Summary'!B7="","",'Account Summary'!B7)</f>
        <v>8500</v>
      </c>
      <c r="C8" s="21" t="n">
        <f aca="false">IF(OR('Account Summary'!B7="",'Account Summary'!B6="",'Account Summary'!B6=0),"",('Account Summary'!B7-'Account Summary'!B6)/'Account Summary'!B6)</f>
        <v>0.180555555555556</v>
      </c>
      <c r="D8" s="22" t="n">
        <f aca="false">IF('Account Summary'!C7="","",'Account Summary'!C7)</f>
        <v>410000</v>
      </c>
      <c r="E8" s="21" t="n">
        <f aca="false">IF(OR('Account Summary'!C7="",'Account Summary'!C6="",'Account Summary'!C6=0),"",('Account Summary'!C7-'Account Summary'!C6)/'Account Summary'!C6)</f>
        <v>0.138888888888889</v>
      </c>
      <c r="F8" s="22" t="n">
        <f aca="false">IF('Account Summary'!D7="","",'Account Summary'!D7)</f>
        <v>2300</v>
      </c>
      <c r="G8" s="21" t="n">
        <f aca="false">IF(OR('Account Summary'!D7="",'Account Summary'!D6="",'Account Summary'!D6=0),"",('Account Summary'!D7-'Account Summary'!D6)/'Account Summary'!D6)</f>
        <v>0.161616161616162</v>
      </c>
      <c r="H8" s="23" t="n">
        <f aca="false">IF('Account Summary'!E7="","",'Account Summary'!E7)</f>
        <v>0.00560975609756098</v>
      </c>
      <c r="I8" s="27" t="n">
        <f aca="false">IF(OR('Account Summary'!E7="",'Account Summary'!E6=""),"",'Account Summary'!E7-'Account Summary'!E6)</f>
        <v>0.000109756097560976</v>
      </c>
      <c r="J8" s="20" t="n">
        <f aca="false">IF('Account Summary'!F7="","",'Account Summary'!F7)</f>
        <v>3.69565217391304</v>
      </c>
      <c r="K8" s="21" t="n">
        <f aca="false">IF(OR('Account Summary'!F7="",'Account Summary'!F6="",'Account Summary'!F6=0),"",('Account Summary'!F7-'Account Summary'!F6)/'Account Summary'!F6)</f>
        <v>0.016304347826087</v>
      </c>
      <c r="L8" s="22" t="n">
        <f aca="false">IF('Account Summary'!H7="","",'Account Summary'!H7)</f>
        <v>63</v>
      </c>
      <c r="M8" s="21" t="n">
        <f aca="false">IF(OR('Account Summary'!H7="",'Account Summary'!H6="",'Account Summary'!H6=0),"",('Account Summary'!H7-'Account Summary'!H6)/'Account Summary'!H6)</f>
        <v>0.211538461538462</v>
      </c>
      <c r="N8" s="20" t="n">
        <f aca="false">IF('Account Summary'!I7="","",'Account Summary'!I7)</f>
        <v>134.920634920635</v>
      </c>
      <c r="O8" s="21" t="n">
        <f aca="false">IF(OR('Account Summary'!I7="",'Account Summary'!I6="",'Account Summary'!I6=0),"",('Account Summary'!I7-'Account Summary'!I6)/'Account Summary'!I6)</f>
        <v>-0.0255731922398589</v>
      </c>
      <c r="P8" s="28" t="n">
        <f aca="false">IF('Account Summary'!K7="","",'Account Summary'!K7)</f>
        <v>0.021</v>
      </c>
      <c r="Q8" s="27" t="n">
        <f aca="false">IF(OR('Account Summary'!K7="",'Account Summary'!K6=""),"",'Account Summary'!K7-'Account Summary'!K6)</f>
        <v>0.001</v>
      </c>
    </row>
    <row r="9" customFormat="false" ht="15" hidden="false" customHeight="false" outlineLevel="0" collapsed="false">
      <c r="A9" s="25" t="str">
        <f aca="false">'Account Summary'!A8</f>
        <v>Month 4</v>
      </c>
      <c r="B9" s="26" t="str">
        <f aca="false">IF('Account Summary'!B8="","",'Account Summary'!B8)</f>
        <v/>
      </c>
      <c r="C9" s="21" t="str">
        <f aca="false">IF(OR('Account Summary'!B8="",'Account Summary'!B7="",'Account Summary'!B7=0),"",('Account Summary'!B8-'Account Summary'!B7)/'Account Summary'!B7)</f>
        <v/>
      </c>
      <c r="D9" s="22" t="str">
        <f aca="false">IF('Account Summary'!C8="","",'Account Summary'!C8)</f>
        <v/>
      </c>
      <c r="E9" s="21" t="str">
        <f aca="false">IF(OR('Account Summary'!C8="",'Account Summary'!C7="",'Account Summary'!C7=0),"",('Account Summary'!C8-'Account Summary'!C7)/'Account Summary'!C7)</f>
        <v/>
      </c>
      <c r="F9" s="22" t="str">
        <f aca="false">IF('Account Summary'!D8="","",'Account Summary'!D8)</f>
        <v/>
      </c>
      <c r="G9" s="21" t="str">
        <f aca="false">IF(OR('Account Summary'!D8="",'Account Summary'!D7="",'Account Summary'!D7=0),"",('Account Summary'!D8-'Account Summary'!D7)/'Account Summary'!D7)</f>
        <v/>
      </c>
      <c r="H9" s="23" t="str">
        <f aca="false">IF('Account Summary'!E8="","",'Account Summary'!E8)</f>
        <v/>
      </c>
      <c r="I9" s="27" t="str">
        <f aca="false">IF(OR('Account Summary'!E8="",'Account Summary'!E7=""),"",'Account Summary'!E8-'Account Summary'!E7)</f>
        <v/>
      </c>
      <c r="J9" s="20" t="str">
        <f aca="false">IF('Account Summary'!F8="","",'Account Summary'!F8)</f>
        <v/>
      </c>
      <c r="K9" s="21" t="str">
        <f aca="false">IF(OR('Account Summary'!F8="",'Account Summary'!F7="",'Account Summary'!F7=0),"",('Account Summary'!F8-'Account Summary'!F7)/'Account Summary'!F7)</f>
        <v/>
      </c>
      <c r="L9" s="22" t="str">
        <f aca="false">IF('Account Summary'!H8="","",'Account Summary'!H8)</f>
        <v/>
      </c>
      <c r="M9" s="21" t="str">
        <f aca="false">IF(OR('Account Summary'!H8="",'Account Summary'!H7="",'Account Summary'!H7=0),"",('Account Summary'!H8-'Account Summary'!H7)/'Account Summary'!H7)</f>
        <v/>
      </c>
      <c r="N9" s="20" t="str">
        <f aca="false">IF('Account Summary'!I8="","",'Account Summary'!I8)</f>
        <v/>
      </c>
      <c r="O9" s="21" t="str">
        <f aca="false">IF(OR('Account Summary'!I8="",'Account Summary'!I7="",'Account Summary'!I7=0),"",('Account Summary'!I8-'Account Summary'!I7)/'Account Summary'!I7)</f>
        <v/>
      </c>
      <c r="P9" s="28" t="str">
        <f aca="false">IF('Account Summary'!K8="","",'Account Summary'!K8)</f>
        <v/>
      </c>
      <c r="Q9" s="27" t="str">
        <f aca="false">IF(OR('Account Summary'!K8="",'Account Summary'!K7=""),"",'Account Summary'!K8-'Account Summary'!K7)</f>
        <v/>
      </c>
    </row>
    <row r="10" customFormat="false" ht="15" hidden="false" customHeight="false" outlineLevel="0" collapsed="false">
      <c r="A10" s="25" t="str">
        <f aca="false">'Account Summary'!A9</f>
        <v>Month 5</v>
      </c>
      <c r="B10" s="26" t="str">
        <f aca="false">IF('Account Summary'!B9="","",'Account Summary'!B9)</f>
        <v/>
      </c>
      <c r="C10" s="21" t="str">
        <f aca="false">IF(OR('Account Summary'!B9="",'Account Summary'!B8="",'Account Summary'!B8=0),"",('Account Summary'!B9-'Account Summary'!B8)/'Account Summary'!B8)</f>
        <v/>
      </c>
      <c r="D10" s="22" t="str">
        <f aca="false">IF('Account Summary'!C9="","",'Account Summary'!C9)</f>
        <v/>
      </c>
      <c r="E10" s="21" t="str">
        <f aca="false">IF(OR('Account Summary'!C9="",'Account Summary'!C8="",'Account Summary'!C8=0),"",('Account Summary'!C9-'Account Summary'!C8)/'Account Summary'!C8)</f>
        <v/>
      </c>
      <c r="F10" s="22" t="str">
        <f aca="false">IF('Account Summary'!D9="","",'Account Summary'!D9)</f>
        <v/>
      </c>
      <c r="G10" s="21" t="str">
        <f aca="false">IF(OR('Account Summary'!D9="",'Account Summary'!D8="",'Account Summary'!D8=0),"",('Account Summary'!D9-'Account Summary'!D8)/'Account Summary'!D8)</f>
        <v/>
      </c>
      <c r="H10" s="23" t="str">
        <f aca="false">IF('Account Summary'!E9="","",'Account Summary'!E9)</f>
        <v/>
      </c>
      <c r="I10" s="27" t="str">
        <f aca="false">IF(OR('Account Summary'!E9="",'Account Summary'!E8=""),"",'Account Summary'!E9-'Account Summary'!E8)</f>
        <v/>
      </c>
      <c r="J10" s="20" t="str">
        <f aca="false">IF('Account Summary'!F9="","",'Account Summary'!F9)</f>
        <v/>
      </c>
      <c r="K10" s="21" t="str">
        <f aca="false">IF(OR('Account Summary'!F9="",'Account Summary'!F8="",'Account Summary'!F8=0),"",('Account Summary'!F9-'Account Summary'!F8)/'Account Summary'!F8)</f>
        <v/>
      </c>
      <c r="L10" s="22" t="str">
        <f aca="false">IF('Account Summary'!H9="","",'Account Summary'!H9)</f>
        <v/>
      </c>
      <c r="M10" s="21" t="str">
        <f aca="false">IF(OR('Account Summary'!H9="",'Account Summary'!H8="",'Account Summary'!H8=0),"",('Account Summary'!H9-'Account Summary'!H8)/'Account Summary'!H8)</f>
        <v/>
      </c>
      <c r="N10" s="20" t="str">
        <f aca="false">IF('Account Summary'!I9="","",'Account Summary'!I9)</f>
        <v/>
      </c>
      <c r="O10" s="21" t="str">
        <f aca="false">IF(OR('Account Summary'!I9="",'Account Summary'!I8="",'Account Summary'!I8=0),"",('Account Summary'!I9-'Account Summary'!I8)/'Account Summary'!I8)</f>
        <v/>
      </c>
      <c r="P10" s="28" t="str">
        <f aca="false">IF('Account Summary'!K9="","",'Account Summary'!K9)</f>
        <v/>
      </c>
      <c r="Q10" s="27" t="str">
        <f aca="false">IF(OR('Account Summary'!K9="",'Account Summary'!K8=""),"",'Account Summary'!K9-'Account Summary'!K8)</f>
        <v/>
      </c>
    </row>
    <row r="11" customFormat="false" ht="15" hidden="false" customHeight="false" outlineLevel="0" collapsed="false">
      <c r="A11" s="25" t="str">
        <f aca="false">'Account Summary'!A10</f>
        <v>Month 6</v>
      </c>
      <c r="B11" s="26" t="str">
        <f aca="false">IF('Account Summary'!B10="","",'Account Summary'!B10)</f>
        <v/>
      </c>
      <c r="C11" s="21" t="str">
        <f aca="false">IF(OR('Account Summary'!B10="",'Account Summary'!B9="",'Account Summary'!B9=0),"",('Account Summary'!B10-'Account Summary'!B9)/'Account Summary'!B9)</f>
        <v/>
      </c>
      <c r="D11" s="22" t="str">
        <f aca="false">IF('Account Summary'!C10="","",'Account Summary'!C10)</f>
        <v/>
      </c>
      <c r="E11" s="21" t="str">
        <f aca="false">IF(OR('Account Summary'!C10="",'Account Summary'!C9="",'Account Summary'!C9=0),"",('Account Summary'!C10-'Account Summary'!C9)/'Account Summary'!C9)</f>
        <v/>
      </c>
      <c r="F11" s="22" t="str">
        <f aca="false">IF('Account Summary'!D10="","",'Account Summary'!D10)</f>
        <v/>
      </c>
      <c r="G11" s="21" t="str">
        <f aca="false">IF(OR('Account Summary'!D10="",'Account Summary'!D9="",'Account Summary'!D9=0),"",('Account Summary'!D10-'Account Summary'!D9)/'Account Summary'!D9)</f>
        <v/>
      </c>
      <c r="H11" s="23" t="str">
        <f aca="false">IF('Account Summary'!E10="","",'Account Summary'!E10)</f>
        <v/>
      </c>
      <c r="I11" s="27" t="str">
        <f aca="false">IF(OR('Account Summary'!E10="",'Account Summary'!E9=""),"",'Account Summary'!E10-'Account Summary'!E9)</f>
        <v/>
      </c>
      <c r="J11" s="20" t="str">
        <f aca="false">IF('Account Summary'!F10="","",'Account Summary'!F10)</f>
        <v/>
      </c>
      <c r="K11" s="21" t="str">
        <f aca="false">IF(OR('Account Summary'!F10="",'Account Summary'!F9="",'Account Summary'!F9=0),"",('Account Summary'!F10-'Account Summary'!F9)/'Account Summary'!F9)</f>
        <v/>
      </c>
      <c r="L11" s="22" t="str">
        <f aca="false">IF('Account Summary'!H10="","",'Account Summary'!H10)</f>
        <v/>
      </c>
      <c r="M11" s="21" t="str">
        <f aca="false">IF(OR('Account Summary'!H10="",'Account Summary'!H9="",'Account Summary'!H9=0),"",('Account Summary'!H10-'Account Summary'!H9)/'Account Summary'!H9)</f>
        <v/>
      </c>
      <c r="N11" s="20" t="str">
        <f aca="false">IF('Account Summary'!I10="","",'Account Summary'!I10)</f>
        <v/>
      </c>
      <c r="O11" s="21" t="str">
        <f aca="false">IF(OR('Account Summary'!I10="",'Account Summary'!I9="",'Account Summary'!I9=0),"",('Account Summary'!I10-'Account Summary'!I9)/'Account Summary'!I9)</f>
        <v/>
      </c>
      <c r="P11" s="28" t="str">
        <f aca="false">IF('Account Summary'!K10="","",'Account Summary'!K10)</f>
        <v/>
      </c>
      <c r="Q11" s="27" t="str">
        <f aca="false">IF(OR('Account Summary'!K10="",'Account Summary'!K9=""),"",'Account Summary'!K10-'Account Summary'!K9)</f>
        <v/>
      </c>
    </row>
    <row r="12" customFormat="false" ht="15" hidden="false" customHeight="false" outlineLevel="0" collapsed="false">
      <c r="A12" s="25" t="str">
        <f aca="false">'Account Summary'!A11</f>
        <v>Month 7</v>
      </c>
      <c r="B12" s="26" t="str">
        <f aca="false">IF('Account Summary'!B11="","",'Account Summary'!B11)</f>
        <v/>
      </c>
      <c r="C12" s="21" t="str">
        <f aca="false">IF(OR('Account Summary'!B11="",'Account Summary'!B10="",'Account Summary'!B10=0),"",('Account Summary'!B11-'Account Summary'!B10)/'Account Summary'!B10)</f>
        <v/>
      </c>
      <c r="D12" s="22" t="str">
        <f aca="false">IF('Account Summary'!C11="","",'Account Summary'!C11)</f>
        <v/>
      </c>
      <c r="E12" s="21" t="str">
        <f aca="false">IF(OR('Account Summary'!C11="",'Account Summary'!C10="",'Account Summary'!C10=0),"",('Account Summary'!C11-'Account Summary'!C10)/'Account Summary'!C10)</f>
        <v/>
      </c>
      <c r="F12" s="22" t="str">
        <f aca="false">IF('Account Summary'!D11="","",'Account Summary'!D11)</f>
        <v/>
      </c>
      <c r="G12" s="21" t="str">
        <f aca="false">IF(OR('Account Summary'!D11="",'Account Summary'!D10="",'Account Summary'!D10=0),"",('Account Summary'!D11-'Account Summary'!D10)/'Account Summary'!D10)</f>
        <v/>
      </c>
      <c r="H12" s="23" t="str">
        <f aca="false">IF('Account Summary'!E11="","",'Account Summary'!E11)</f>
        <v/>
      </c>
      <c r="I12" s="27" t="str">
        <f aca="false">IF(OR('Account Summary'!E11="",'Account Summary'!E10=""),"",'Account Summary'!E11-'Account Summary'!E10)</f>
        <v/>
      </c>
      <c r="J12" s="20" t="str">
        <f aca="false">IF('Account Summary'!F11="","",'Account Summary'!F11)</f>
        <v/>
      </c>
      <c r="K12" s="21" t="str">
        <f aca="false">IF(OR('Account Summary'!F11="",'Account Summary'!F10="",'Account Summary'!F10=0),"",('Account Summary'!F11-'Account Summary'!F10)/'Account Summary'!F10)</f>
        <v/>
      </c>
      <c r="L12" s="22" t="str">
        <f aca="false">IF('Account Summary'!H11="","",'Account Summary'!H11)</f>
        <v/>
      </c>
      <c r="M12" s="21" t="str">
        <f aca="false">IF(OR('Account Summary'!H11="",'Account Summary'!H10="",'Account Summary'!H10=0),"",('Account Summary'!H11-'Account Summary'!H10)/'Account Summary'!H10)</f>
        <v/>
      </c>
      <c r="N12" s="20" t="str">
        <f aca="false">IF('Account Summary'!I11="","",'Account Summary'!I11)</f>
        <v/>
      </c>
      <c r="O12" s="21" t="str">
        <f aca="false">IF(OR('Account Summary'!I11="",'Account Summary'!I10="",'Account Summary'!I10=0),"",('Account Summary'!I11-'Account Summary'!I10)/'Account Summary'!I10)</f>
        <v/>
      </c>
      <c r="P12" s="28" t="str">
        <f aca="false">IF('Account Summary'!K11="","",'Account Summary'!K11)</f>
        <v/>
      </c>
      <c r="Q12" s="27" t="str">
        <f aca="false">IF(OR('Account Summary'!K11="",'Account Summary'!K10=""),"",'Account Summary'!K11-'Account Summary'!K10)</f>
        <v/>
      </c>
    </row>
    <row r="13" customFormat="false" ht="15" hidden="false" customHeight="false" outlineLevel="0" collapsed="false">
      <c r="A13" s="25" t="str">
        <f aca="false">'Account Summary'!A12</f>
        <v>Month 8</v>
      </c>
      <c r="B13" s="26" t="str">
        <f aca="false">IF('Account Summary'!B12="","",'Account Summary'!B12)</f>
        <v/>
      </c>
      <c r="C13" s="21" t="str">
        <f aca="false">IF(OR('Account Summary'!B12="",'Account Summary'!B11="",'Account Summary'!B11=0),"",('Account Summary'!B12-'Account Summary'!B11)/'Account Summary'!B11)</f>
        <v/>
      </c>
      <c r="D13" s="22" t="str">
        <f aca="false">IF('Account Summary'!C12="","",'Account Summary'!C12)</f>
        <v/>
      </c>
      <c r="E13" s="21" t="str">
        <f aca="false">IF(OR('Account Summary'!C12="",'Account Summary'!C11="",'Account Summary'!C11=0),"",('Account Summary'!C12-'Account Summary'!C11)/'Account Summary'!C11)</f>
        <v/>
      </c>
      <c r="F13" s="22" t="str">
        <f aca="false">IF('Account Summary'!D12="","",'Account Summary'!D12)</f>
        <v/>
      </c>
      <c r="G13" s="21" t="str">
        <f aca="false">IF(OR('Account Summary'!D12="",'Account Summary'!D11="",'Account Summary'!D11=0),"",('Account Summary'!D12-'Account Summary'!D11)/'Account Summary'!D11)</f>
        <v/>
      </c>
      <c r="H13" s="23" t="str">
        <f aca="false">IF('Account Summary'!E12="","",'Account Summary'!E12)</f>
        <v/>
      </c>
      <c r="I13" s="27" t="str">
        <f aca="false">IF(OR('Account Summary'!E12="",'Account Summary'!E11=""),"",'Account Summary'!E12-'Account Summary'!E11)</f>
        <v/>
      </c>
      <c r="J13" s="20" t="str">
        <f aca="false">IF('Account Summary'!F12="","",'Account Summary'!F12)</f>
        <v/>
      </c>
      <c r="K13" s="21" t="str">
        <f aca="false">IF(OR('Account Summary'!F12="",'Account Summary'!F11="",'Account Summary'!F11=0),"",('Account Summary'!F12-'Account Summary'!F11)/'Account Summary'!F11)</f>
        <v/>
      </c>
      <c r="L13" s="22" t="str">
        <f aca="false">IF('Account Summary'!H12="","",'Account Summary'!H12)</f>
        <v/>
      </c>
      <c r="M13" s="21" t="str">
        <f aca="false">IF(OR('Account Summary'!H12="",'Account Summary'!H11="",'Account Summary'!H11=0),"",('Account Summary'!H12-'Account Summary'!H11)/'Account Summary'!H11)</f>
        <v/>
      </c>
      <c r="N13" s="20" t="str">
        <f aca="false">IF('Account Summary'!I12="","",'Account Summary'!I12)</f>
        <v/>
      </c>
      <c r="O13" s="21" t="str">
        <f aca="false">IF(OR('Account Summary'!I12="",'Account Summary'!I11="",'Account Summary'!I11=0),"",('Account Summary'!I12-'Account Summary'!I11)/'Account Summary'!I11)</f>
        <v/>
      </c>
      <c r="P13" s="28" t="str">
        <f aca="false">IF('Account Summary'!K12="","",'Account Summary'!K12)</f>
        <v/>
      </c>
      <c r="Q13" s="27" t="str">
        <f aca="false">IF(OR('Account Summary'!K12="",'Account Summary'!K11=""),"",'Account Summary'!K12-'Account Summary'!K11)</f>
        <v/>
      </c>
    </row>
    <row r="14" customFormat="false" ht="15" hidden="false" customHeight="false" outlineLevel="0" collapsed="false">
      <c r="A14" s="25" t="str">
        <f aca="false">'Account Summary'!A13</f>
        <v>Month 9</v>
      </c>
      <c r="B14" s="26" t="str">
        <f aca="false">IF('Account Summary'!B13="","",'Account Summary'!B13)</f>
        <v/>
      </c>
      <c r="C14" s="21" t="str">
        <f aca="false">IF(OR('Account Summary'!B13="",'Account Summary'!B12="",'Account Summary'!B12=0),"",('Account Summary'!B13-'Account Summary'!B12)/'Account Summary'!B12)</f>
        <v/>
      </c>
      <c r="D14" s="22" t="str">
        <f aca="false">IF('Account Summary'!C13="","",'Account Summary'!C13)</f>
        <v/>
      </c>
      <c r="E14" s="21" t="str">
        <f aca="false">IF(OR('Account Summary'!C13="",'Account Summary'!C12="",'Account Summary'!C12=0),"",('Account Summary'!C13-'Account Summary'!C12)/'Account Summary'!C12)</f>
        <v/>
      </c>
      <c r="F14" s="22" t="str">
        <f aca="false">IF('Account Summary'!D13="","",'Account Summary'!D13)</f>
        <v/>
      </c>
      <c r="G14" s="21" t="str">
        <f aca="false">IF(OR('Account Summary'!D13="",'Account Summary'!D12="",'Account Summary'!D12=0),"",('Account Summary'!D13-'Account Summary'!D12)/'Account Summary'!D12)</f>
        <v/>
      </c>
      <c r="H14" s="23" t="str">
        <f aca="false">IF('Account Summary'!E13="","",'Account Summary'!E13)</f>
        <v/>
      </c>
      <c r="I14" s="27" t="str">
        <f aca="false">IF(OR('Account Summary'!E13="",'Account Summary'!E12=""),"",'Account Summary'!E13-'Account Summary'!E12)</f>
        <v/>
      </c>
      <c r="J14" s="20" t="str">
        <f aca="false">IF('Account Summary'!F13="","",'Account Summary'!F13)</f>
        <v/>
      </c>
      <c r="K14" s="21" t="str">
        <f aca="false">IF(OR('Account Summary'!F13="",'Account Summary'!F12="",'Account Summary'!F12=0),"",('Account Summary'!F13-'Account Summary'!F12)/'Account Summary'!F12)</f>
        <v/>
      </c>
      <c r="L14" s="22" t="str">
        <f aca="false">IF('Account Summary'!H13="","",'Account Summary'!H13)</f>
        <v/>
      </c>
      <c r="M14" s="21" t="str">
        <f aca="false">IF(OR('Account Summary'!H13="",'Account Summary'!H12="",'Account Summary'!H12=0),"",('Account Summary'!H13-'Account Summary'!H12)/'Account Summary'!H12)</f>
        <v/>
      </c>
      <c r="N14" s="20" t="str">
        <f aca="false">IF('Account Summary'!I13="","",'Account Summary'!I13)</f>
        <v/>
      </c>
      <c r="O14" s="21" t="str">
        <f aca="false">IF(OR('Account Summary'!I13="",'Account Summary'!I12="",'Account Summary'!I12=0),"",('Account Summary'!I13-'Account Summary'!I12)/'Account Summary'!I12)</f>
        <v/>
      </c>
      <c r="P14" s="28" t="str">
        <f aca="false">IF('Account Summary'!K13="","",'Account Summary'!K13)</f>
        <v/>
      </c>
      <c r="Q14" s="27" t="str">
        <f aca="false">IF(OR('Account Summary'!K13="",'Account Summary'!K12=""),"",'Account Summary'!K13-'Account Summary'!K12)</f>
        <v/>
      </c>
    </row>
    <row r="15" customFormat="false" ht="15" hidden="false" customHeight="false" outlineLevel="0" collapsed="false">
      <c r="A15" s="25" t="str">
        <f aca="false">'Account Summary'!A14</f>
        <v>Month 10</v>
      </c>
      <c r="B15" s="26" t="str">
        <f aca="false">IF('Account Summary'!B14="","",'Account Summary'!B14)</f>
        <v/>
      </c>
      <c r="C15" s="21" t="str">
        <f aca="false">IF(OR('Account Summary'!B14="",'Account Summary'!B13="",'Account Summary'!B13=0),"",('Account Summary'!B14-'Account Summary'!B13)/'Account Summary'!B13)</f>
        <v/>
      </c>
      <c r="D15" s="22" t="str">
        <f aca="false">IF('Account Summary'!C14="","",'Account Summary'!C14)</f>
        <v/>
      </c>
      <c r="E15" s="21" t="str">
        <f aca="false">IF(OR('Account Summary'!C14="",'Account Summary'!C13="",'Account Summary'!C13=0),"",('Account Summary'!C14-'Account Summary'!C13)/'Account Summary'!C13)</f>
        <v/>
      </c>
      <c r="F15" s="22" t="str">
        <f aca="false">IF('Account Summary'!D14="","",'Account Summary'!D14)</f>
        <v/>
      </c>
      <c r="G15" s="21" t="str">
        <f aca="false">IF(OR('Account Summary'!D14="",'Account Summary'!D13="",'Account Summary'!D13=0),"",('Account Summary'!D14-'Account Summary'!D13)/'Account Summary'!D13)</f>
        <v/>
      </c>
      <c r="H15" s="23" t="str">
        <f aca="false">IF('Account Summary'!E14="","",'Account Summary'!E14)</f>
        <v/>
      </c>
      <c r="I15" s="27" t="str">
        <f aca="false">IF(OR('Account Summary'!E14="",'Account Summary'!E13=""),"",'Account Summary'!E14-'Account Summary'!E13)</f>
        <v/>
      </c>
      <c r="J15" s="20" t="str">
        <f aca="false">IF('Account Summary'!F14="","",'Account Summary'!F14)</f>
        <v/>
      </c>
      <c r="K15" s="21" t="str">
        <f aca="false">IF(OR('Account Summary'!F14="",'Account Summary'!F13="",'Account Summary'!F13=0),"",('Account Summary'!F14-'Account Summary'!F13)/'Account Summary'!F13)</f>
        <v/>
      </c>
      <c r="L15" s="22" t="str">
        <f aca="false">IF('Account Summary'!H14="","",'Account Summary'!H14)</f>
        <v/>
      </c>
      <c r="M15" s="21" t="str">
        <f aca="false">IF(OR('Account Summary'!H14="",'Account Summary'!H13="",'Account Summary'!H13=0),"",('Account Summary'!H14-'Account Summary'!H13)/'Account Summary'!H13)</f>
        <v/>
      </c>
      <c r="N15" s="20" t="str">
        <f aca="false">IF('Account Summary'!I14="","",'Account Summary'!I14)</f>
        <v/>
      </c>
      <c r="O15" s="21" t="str">
        <f aca="false">IF(OR('Account Summary'!I14="",'Account Summary'!I13="",'Account Summary'!I13=0),"",('Account Summary'!I14-'Account Summary'!I13)/'Account Summary'!I13)</f>
        <v/>
      </c>
      <c r="P15" s="28" t="str">
        <f aca="false">IF('Account Summary'!K14="","",'Account Summary'!K14)</f>
        <v/>
      </c>
      <c r="Q15" s="27" t="str">
        <f aca="false">IF(OR('Account Summary'!K14="",'Account Summary'!K13=""),"",'Account Summary'!K14-'Account Summary'!K13)</f>
        <v/>
      </c>
    </row>
    <row r="16" customFormat="false" ht="15" hidden="false" customHeight="false" outlineLevel="0" collapsed="false">
      <c r="A16" s="25" t="str">
        <f aca="false">'Account Summary'!A15</f>
        <v>Month 11</v>
      </c>
      <c r="B16" s="26" t="str">
        <f aca="false">IF('Account Summary'!B15="","",'Account Summary'!B15)</f>
        <v/>
      </c>
      <c r="C16" s="21" t="str">
        <f aca="false">IF(OR('Account Summary'!B15="",'Account Summary'!B14="",'Account Summary'!B14=0),"",('Account Summary'!B15-'Account Summary'!B14)/'Account Summary'!B14)</f>
        <v/>
      </c>
      <c r="D16" s="22" t="str">
        <f aca="false">IF('Account Summary'!C15="","",'Account Summary'!C15)</f>
        <v/>
      </c>
      <c r="E16" s="21" t="str">
        <f aca="false">IF(OR('Account Summary'!C15="",'Account Summary'!C14="",'Account Summary'!C14=0),"",('Account Summary'!C15-'Account Summary'!C14)/'Account Summary'!C14)</f>
        <v/>
      </c>
      <c r="F16" s="22" t="str">
        <f aca="false">IF('Account Summary'!D15="","",'Account Summary'!D15)</f>
        <v/>
      </c>
      <c r="G16" s="21" t="str">
        <f aca="false">IF(OR('Account Summary'!D15="",'Account Summary'!D14="",'Account Summary'!D14=0),"",('Account Summary'!D15-'Account Summary'!D14)/'Account Summary'!D14)</f>
        <v/>
      </c>
      <c r="H16" s="23" t="str">
        <f aca="false">IF('Account Summary'!E15="","",'Account Summary'!E15)</f>
        <v/>
      </c>
      <c r="I16" s="27" t="str">
        <f aca="false">IF(OR('Account Summary'!E15="",'Account Summary'!E14=""),"",'Account Summary'!E15-'Account Summary'!E14)</f>
        <v/>
      </c>
      <c r="J16" s="20" t="str">
        <f aca="false">IF('Account Summary'!F15="","",'Account Summary'!F15)</f>
        <v/>
      </c>
      <c r="K16" s="21" t="str">
        <f aca="false">IF(OR('Account Summary'!F15="",'Account Summary'!F14="",'Account Summary'!F14=0),"",('Account Summary'!F15-'Account Summary'!F14)/'Account Summary'!F14)</f>
        <v/>
      </c>
      <c r="L16" s="22" t="str">
        <f aca="false">IF('Account Summary'!H15="","",'Account Summary'!H15)</f>
        <v/>
      </c>
      <c r="M16" s="21" t="str">
        <f aca="false">IF(OR('Account Summary'!H15="",'Account Summary'!H14="",'Account Summary'!H14=0),"",('Account Summary'!H15-'Account Summary'!H14)/'Account Summary'!H14)</f>
        <v/>
      </c>
      <c r="N16" s="20" t="str">
        <f aca="false">IF('Account Summary'!I15="","",'Account Summary'!I15)</f>
        <v/>
      </c>
      <c r="O16" s="21" t="str">
        <f aca="false">IF(OR('Account Summary'!I15="",'Account Summary'!I14="",'Account Summary'!I14=0),"",('Account Summary'!I15-'Account Summary'!I14)/'Account Summary'!I14)</f>
        <v/>
      </c>
      <c r="P16" s="28" t="str">
        <f aca="false">IF('Account Summary'!K15="","",'Account Summary'!K15)</f>
        <v/>
      </c>
      <c r="Q16" s="27" t="str">
        <f aca="false">IF(OR('Account Summary'!K15="",'Account Summary'!K14=""),"",'Account Summary'!K15-'Account Summary'!K14)</f>
        <v/>
      </c>
    </row>
    <row r="17" customFormat="false" ht="15" hidden="false" customHeight="false" outlineLevel="0" collapsed="false">
      <c r="A17" s="25" t="str">
        <f aca="false">'Account Summary'!A16</f>
        <v>Month 12</v>
      </c>
      <c r="B17" s="26" t="str">
        <f aca="false">IF('Account Summary'!B16="","",'Account Summary'!B16)</f>
        <v/>
      </c>
      <c r="C17" s="21" t="str">
        <f aca="false">IF(OR('Account Summary'!B16="",'Account Summary'!B15="",'Account Summary'!B15=0),"",('Account Summary'!B16-'Account Summary'!B15)/'Account Summary'!B15)</f>
        <v/>
      </c>
      <c r="D17" s="22" t="str">
        <f aca="false">IF('Account Summary'!C16="","",'Account Summary'!C16)</f>
        <v/>
      </c>
      <c r="E17" s="21" t="str">
        <f aca="false">IF(OR('Account Summary'!C16="",'Account Summary'!C15="",'Account Summary'!C15=0),"",('Account Summary'!C16-'Account Summary'!C15)/'Account Summary'!C15)</f>
        <v/>
      </c>
      <c r="F17" s="22" t="str">
        <f aca="false">IF('Account Summary'!D16="","",'Account Summary'!D16)</f>
        <v/>
      </c>
      <c r="G17" s="21" t="str">
        <f aca="false">IF(OR('Account Summary'!D16="",'Account Summary'!D15="",'Account Summary'!D15=0),"",('Account Summary'!D16-'Account Summary'!D15)/'Account Summary'!D15)</f>
        <v/>
      </c>
      <c r="H17" s="23" t="str">
        <f aca="false">IF('Account Summary'!E16="","",'Account Summary'!E16)</f>
        <v/>
      </c>
      <c r="I17" s="27" t="str">
        <f aca="false">IF(OR('Account Summary'!E16="",'Account Summary'!E15=""),"",'Account Summary'!E16-'Account Summary'!E15)</f>
        <v/>
      </c>
      <c r="J17" s="20" t="str">
        <f aca="false">IF('Account Summary'!F16="","",'Account Summary'!F16)</f>
        <v/>
      </c>
      <c r="K17" s="21" t="str">
        <f aca="false">IF(OR('Account Summary'!F16="",'Account Summary'!F15="",'Account Summary'!F15=0),"",('Account Summary'!F16-'Account Summary'!F15)/'Account Summary'!F15)</f>
        <v/>
      </c>
      <c r="L17" s="22" t="str">
        <f aca="false">IF('Account Summary'!H16="","",'Account Summary'!H16)</f>
        <v/>
      </c>
      <c r="M17" s="21" t="str">
        <f aca="false">IF(OR('Account Summary'!H16="",'Account Summary'!H15="",'Account Summary'!H15=0),"",('Account Summary'!H16-'Account Summary'!H15)/'Account Summary'!H15)</f>
        <v/>
      </c>
      <c r="N17" s="20" t="str">
        <f aca="false">IF('Account Summary'!I16="","",'Account Summary'!I16)</f>
        <v/>
      </c>
      <c r="O17" s="21" t="str">
        <f aca="false">IF(OR('Account Summary'!I16="",'Account Summary'!I15="",'Account Summary'!I15=0),"",('Account Summary'!I16-'Account Summary'!I15)/'Account Summary'!I15)</f>
        <v/>
      </c>
      <c r="P17" s="28" t="str">
        <f aca="false">IF('Account Summary'!K16="","",'Account Summary'!K16)</f>
        <v/>
      </c>
      <c r="Q17" s="27" t="str">
        <f aca="false">IF(OR('Account Summary'!K16="",'Account Summary'!K15=""),"",'Account Summary'!K16-'Account Summary'!K15)</f>
        <v/>
      </c>
    </row>
    <row r="18" customFormat="false" ht="15" hidden="false" customHeight="false" outlineLevel="0" collapsed="false">
      <c r="A18" s="25" t="str">
        <f aca="false">'Account Summary'!A17</f>
        <v>Month 13</v>
      </c>
      <c r="B18" s="26" t="str">
        <f aca="false">IF('Account Summary'!B17="","",'Account Summary'!B17)</f>
        <v/>
      </c>
      <c r="C18" s="21" t="str">
        <f aca="false">IF(OR('Account Summary'!B17="",'Account Summary'!B16="",'Account Summary'!B16=0),"",('Account Summary'!B17-'Account Summary'!B16)/'Account Summary'!B16)</f>
        <v/>
      </c>
      <c r="D18" s="22" t="str">
        <f aca="false">IF('Account Summary'!C17="","",'Account Summary'!C17)</f>
        <v/>
      </c>
      <c r="E18" s="21" t="str">
        <f aca="false">IF(OR('Account Summary'!C17="",'Account Summary'!C16="",'Account Summary'!C16=0),"",('Account Summary'!C17-'Account Summary'!C16)/'Account Summary'!C16)</f>
        <v/>
      </c>
      <c r="F18" s="22" t="str">
        <f aca="false">IF('Account Summary'!D17="","",'Account Summary'!D17)</f>
        <v/>
      </c>
      <c r="G18" s="21" t="str">
        <f aca="false">IF(OR('Account Summary'!D17="",'Account Summary'!D16="",'Account Summary'!D16=0),"",('Account Summary'!D17-'Account Summary'!D16)/'Account Summary'!D16)</f>
        <v/>
      </c>
      <c r="H18" s="23" t="str">
        <f aca="false">IF('Account Summary'!E17="","",'Account Summary'!E17)</f>
        <v/>
      </c>
      <c r="I18" s="27" t="str">
        <f aca="false">IF(OR('Account Summary'!E17="",'Account Summary'!E16=""),"",'Account Summary'!E17-'Account Summary'!E16)</f>
        <v/>
      </c>
      <c r="J18" s="20" t="str">
        <f aca="false">IF('Account Summary'!F17="","",'Account Summary'!F17)</f>
        <v/>
      </c>
      <c r="K18" s="21" t="str">
        <f aca="false">IF(OR('Account Summary'!F17="",'Account Summary'!F16="",'Account Summary'!F16=0),"",('Account Summary'!F17-'Account Summary'!F16)/'Account Summary'!F16)</f>
        <v/>
      </c>
      <c r="L18" s="22" t="str">
        <f aca="false">IF('Account Summary'!H17="","",'Account Summary'!H17)</f>
        <v/>
      </c>
      <c r="M18" s="21" t="str">
        <f aca="false">IF(OR('Account Summary'!H17="",'Account Summary'!H16="",'Account Summary'!H16=0),"",('Account Summary'!H17-'Account Summary'!H16)/'Account Summary'!H16)</f>
        <v/>
      </c>
      <c r="N18" s="20" t="str">
        <f aca="false">IF('Account Summary'!I17="","",'Account Summary'!I17)</f>
        <v/>
      </c>
      <c r="O18" s="21" t="str">
        <f aca="false">IF(OR('Account Summary'!I17="",'Account Summary'!I16="",'Account Summary'!I16=0),"",('Account Summary'!I17-'Account Summary'!I16)/'Account Summary'!I16)</f>
        <v/>
      </c>
      <c r="P18" s="28" t="str">
        <f aca="false">IF('Account Summary'!K17="","",'Account Summary'!K17)</f>
        <v/>
      </c>
      <c r="Q18" s="27" t="str">
        <f aca="false">IF(OR('Account Summary'!K17="",'Account Summary'!K16=""),"",'Account Summary'!K17-'Account Summary'!K16)</f>
        <v/>
      </c>
    </row>
    <row r="19" customFormat="false" ht="15" hidden="false" customHeight="false" outlineLevel="0" collapsed="false">
      <c r="A19" s="25" t="str">
        <f aca="false">'Account Summary'!A18</f>
        <v>Month 14</v>
      </c>
      <c r="B19" s="26" t="str">
        <f aca="false">IF('Account Summary'!B18="","",'Account Summary'!B18)</f>
        <v/>
      </c>
      <c r="C19" s="21" t="str">
        <f aca="false">IF(OR('Account Summary'!B18="",'Account Summary'!B17="",'Account Summary'!B17=0),"",('Account Summary'!B18-'Account Summary'!B17)/'Account Summary'!B17)</f>
        <v/>
      </c>
      <c r="D19" s="22" t="str">
        <f aca="false">IF('Account Summary'!C18="","",'Account Summary'!C18)</f>
        <v/>
      </c>
      <c r="E19" s="21" t="str">
        <f aca="false">IF(OR('Account Summary'!C18="",'Account Summary'!C17="",'Account Summary'!C17=0),"",('Account Summary'!C18-'Account Summary'!C17)/'Account Summary'!C17)</f>
        <v/>
      </c>
      <c r="F19" s="22" t="str">
        <f aca="false">IF('Account Summary'!D18="","",'Account Summary'!D18)</f>
        <v/>
      </c>
      <c r="G19" s="21" t="str">
        <f aca="false">IF(OR('Account Summary'!D18="",'Account Summary'!D17="",'Account Summary'!D17=0),"",('Account Summary'!D18-'Account Summary'!D17)/'Account Summary'!D17)</f>
        <v/>
      </c>
      <c r="H19" s="23" t="str">
        <f aca="false">IF('Account Summary'!E18="","",'Account Summary'!E18)</f>
        <v/>
      </c>
      <c r="I19" s="27" t="str">
        <f aca="false">IF(OR('Account Summary'!E18="",'Account Summary'!E17=""),"",'Account Summary'!E18-'Account Summary'!E17)</f>
        <v/>
      </c>
      <c r="J19" s="20" t="str">
        <f aca="false">IF('Account Summary'!F18="","",'Account Summary'!F18)</f>
        <v/>
      </c>
      <c r="K19" s="21" t="str">
        <f aca="false">IF(OR('Account Summary'!F18="",'Account Summary'!F17="",'Account Summary'!F17=0),"",('Account Summary'!F18-'Account Summary'!F17)/'Account Summary'!F17)</f>
        <v/>
      </c>
      <c r="L19" s="22" t="str">
        <f aca="false">IF('Account Summary'!H18="","",'Account Summary'!H18)</f>
        <v/>
      </c>
      <c r="M19" s="21" t="str">
        <f aca="false">IF(OR('Account Summary'!H18="",'Account Summary'!H17="",'Account Summary'!H17=0),"",('Account Summary'!H18-'Account Summary'!H17)/'Account Summary'!H17)</f>
        <v/>
      </c>
      <c r="N19" s="20" t="str">
        <f aca="false">IF('Account Summary'!I18="","",'Account Summary'!I18)</f>
        <v/>
      </c>
      <c r="O19" s="21" t="str">
        <f aca="false">IF(OR('Account Summary'!I18="",'Account Summary'!I17="",'Account Summary'!I17=0),"",('Account Summary'!I18-'Account Summary'!I17)/'Account Summary'!I17)</f>
        <v/>
      </c>
      <c r="P19" s="28" t="str">
        <f aca="false">IF('Account Summary'!K18="","",'Account Summary'!K18)</f>
        <v/>
      </c>
      <c r="Q19" s="27" t="str">
        <f aca="false">IF(OR('Account Summary'!K18="",'Account Summary'!K17=""),"",'Account Summary'!K18-'Account Summary'!K17)</f>
        <v/>
      </c>
    </row>
    <row r="20" customFormat="false" ht="15" hidden="false" customHeight="false" outlineLevel="0" collapsed="false">
      <c r="A20" s="25" t="str">
        <f aca="false">'Account Summary'!A19</f>
        <v>Month 15</v>
      </c>
      <c r="B20" s="26" t="str">
        <f aca="false">IF('Account Summary'!B19="","",'Account Summary'!B19)</f>
        <v/>
      </c>
      <c r="C20" s="21" t="str">
        <f aca="false">IF(OR('Account Summary'!B19="",'Account Summary'!B18="",'Account Summary'!B18=0),"",('Account Summary'!B19-'Account Summary'!B18)/'Account Summary'!B18)</f>
        <v/>
      </c>
      <c r="D20" s="22" t="str">
        <f aca="false">IF('Account Summary'!C19="","",'Account Summary'!C19)</f>
        <v/>
      </c>
      <c r="E20" s="21" t="str">
        <f aca="false">IF(OR('Account Summary'!C19="",'Account Summary'!C18="",'Account Summary'!C18=0),"",('Account Summary'!C19-'Account Summary'!C18)/'Account Summary'!C18)</f>
        <v/>
      </c>
      <c r="F20" s="22" t="str">
        <f aca="false">IF('Account Summary'!D19="","",'Account Summary'!D19)</f>
        <v/>
      </c>
      <c r="G20" s="21" t="str">
        <f aca="false">IF(OR('Account Summary'!D19="",'Account Summary'!D18="",'Account Summary'!D18=0),"",('Account Summary'!D19-'Account Summary'!D18)/'Account Summary'!D18)</f>
        <v/>
      </c>
      <c r="H20" s="23" t="str">
        <f aca="false">IF('Account Summary'!E19="","",'Account Summary'!E19)</f>
        <v/>
      </c>
      <c r="I20" s="27" t="str">
        <f aca="false">IF(OR('Account Summary'!E19="",'Account Summary'!E18=""),"",'Account Summary'!E19-'Account Summary'!E18)</f>
        <v/>
      </c>
      <c r="J20" s="20" t="str">
        <f aca="false">IF('Account Summary'!F19="","",'Account Summary'!F19)</f>
        <v/>
      </c>
      <c r="K20" s="21" t="str">
        <f aca="false">IF(OR('Account Summary'!F19="",'Account Summary'!F18="",'Account Summary'!F18=0),"",('Account Summary'!F19-'Account Summary'!F18)/'Account Summary'!F18)</f>
        <v/>
      </c>
      <c r="L20" s="22" t="str">
        <f aca="false">IF('Account Summary'!H19="","",'Account Summary'!H19)</f>
        <v/>
      </c>
      <c r="M20" s="21" t="str">
        <f aca="false">IF(OR('Account Summary'!H19="",'Account Summary'!H18="",'Account Summary'!H18=0),"",('Account Summary'!H19-'Account Summary'!H18)/'Account Summary'!H18)</f>
        <v/>
      </c>
      <c r="N20" s="20" t="str">
        <f aca="false">IF('Account Summary'!I19="","",'Account Summary'!I19)</f>
        <v/>
      </c>
      <c r="O20" s="21" t="str">
        <f aca="false">IF(OR('Account Summary'!I19="",'Account Summary'!I18="",'Account Summary'!I18=0),"",('Account Summary'!I19-'Account Summary'!I18)/'Account Summary'!I18)</f>
        <v/>
      </c>
      <c r="P20" s="28" t="str">
        <f aca="false">IF('Account Summary'!K19="","",'Account Summary'!K19)</f>
        <v/>
      </c>
      <c r="Q20" s="27" t="str">
        <f aca="false">IF(OR('Account Summary'!K19="",'Account Summary'!K18=""),"",'Account Summary'!K19-'Account Summary'!K18)</f>
        <v/>
      </c>
    </row>
    <row r="21" customFormat="false" ht="15" hidden="false" customHeight="false" outlineLevel="0" collapsed="false">
      <c r="A21" s="25" t="str">
        <f aca="false">'Account Summary'!A20</f>
        <v>Month 16</v>
      </c>
      <c r="B21" s="26" t="str">
        <f aca="false">IF('Account Summary'!B20="","",'Account Summary'!B20)</f>
        <v/>
      </c>
      <c r="C21" s="21" t="str">
        <f aca="false">IF(OR('Account Summary'!B20="",'Account Summary'!B19="",'Account Summary'!B19=0),"",('Account Summary'!B20-'Account Summary'!B19)/'Account Summary'!B19)</f>
        <v/>
      </c>
      <c r="D21" s="22" t="str">
        <f aca="false">IF('Account Summary'!C20="","",'Account Summary'!C20)</f>
        <v/>
      </c>
      <c r="E21" s="21" t="str">
        <f aca="false">IF(OR('Account Summary'!C20="",'Account Summary'!C19="",'Account Summary'!C19=0),"",('Account Summary'!C20-'Account Summary'!C19)/'Account Summary'!C19)</f>
        <v/>
      </c>
      <c r="F21" s="22" t="str">
        <f aca="false">IF('Account Summary'!D20="","",'Account Summary'!D20)</f>
        <v/>
      </c>
      <c r="G21" s="21" t="str">
        <f aca="false">IF(OR('Account Summary'!D20="",'Account Summary'!D19="",'Account Summary'!D19=0),"",('Account Summary'!D20-'Account Summary'!D19)/'Account Summary'!D19)</f>
        <v/>
      </c>
      <c r="H21" s="23" t="str">
        <f aca="false">IF('Account Summary'!E20="","",'Account Summary'!E20)</f>
        <v/>
      </c>
      <c r="I21" s="27" t="str">
        <f aca="false">IF(OR('Account Summary'!E20="",'Account Summary'!E19=""),"",'Account Summary'!E20-'Account Summary'!E19)</f>
        <v/>
      </c>
      <c r="J21" s="20" t="str">
        <f aca="false">IF('Account Summary'!F20="","",'Account Summary'!F20)</f>
        <v/>
      </c>
      <c r="K21" s="21" t="str">
        <f aca="false">IF(OR('Account Summary'!F20="",'Account Summary'!F19="",'Account Summary'!F19=0),"",('Account Summary'!F20-'Account Summary'!F19)/'Account Summary'!F19)</f>
        <v/>
      </c>
      <c r="L21" s="22" t="str">
        <f aca="false">IF('Account Summary'!H20="","",'Account Summary'!H20)</f>
        <v/>
      </c>
      <c r="M21" s="21" t="str">
        <f aca="false">IF(OR('Account Summary'!H20="",'Account Summary'!H19="",'Account Summary'!H19=0),"",('Account Summary'!H20-'Account Summary'!H19)/'Account Summary'!H19)</f>
        <v/>
      </c>
      <c r="N21" s="20" t="str">
        <f aca="false">IF('Account Summary'!I20="","",'Account Summary'!I20)</f>
        <v/>
      </c>
      <c r="O21" s="21" t="str">
        <f aca="false">IF(OR('Account Summary'!I20="",'Account Summary'!I19="",'Account Summary'!I19=0),"",('Account Summary'!I20-'Account Summary'!I19)/'Account Summary'!I19)</f>
        <v/>
      </c>
      <c r="P21" s="28" t="str">
        <f aca="false">IF('Account Summary'!K20="","",'Account Summary'!K20)</f>
        <v/>
      </c>
      <c r="Q21" s="27" t="str">
        <f aca="false">IF(OR('Account Summary'!K20="",'Account Summary'!K19=""),"",'Account Summary'!K20-'Account Summary'!K19)</f>
        <v/>
      </c>
    </row>
    <row r="22" customFormat="false" ht="15" hidden="false" customHeight="false" outlineLevel="0" collapsed="false">
      <c r="A22" s="25" t="str">
        <f aca="false">'Account Summary'!A21</f>
        <v>Month 17</v>
      </c>
      <c r="B22" s="26" t="str">
        <f aca="false">IF('Account Summary'!B21="","",'Account Summary'!B21)</f>
        <v/>
      </c>
      <c r="C22" s="21" t="str">
        <f aca="false">IF(OR('Account Summary'!B21="",'Account Summary'!B20="",'Account Summary'!B20=0),"",('Account Summary'!B21-'Account Summary'!B20)/'Account Summary'!B20)</f>
        <v/>
      </c>
      <c r="D22" s="22" t="str">
        <f aca="false">IF('Account Summary'!C21="","",'Account Summary'!C21)</f>
        <v/>
      </c>
      <c r="E22" s="21" t="str">
        <f aca="false">IF(OR('Account Summary'!C21="",'Account Summary'!C20="",'Account Summary'!C20=0),"",('Account Summary'!C21-'Account Summary'!C20)/'Account Summary'!C20)</f>
        <v/>
      </c>
      <c r="F22" s="22" t="str">
        <f aca="false">IF('Account Summary'!D21="","",'Account Summary'!D21)</f>
        <v/>
      </c>
      <c r="G22" s="21" t="str">
        <f aca="false">IF(OR('Account Summary'!D21="",'Account Summary'!D20="",'Account Summary'!D20=0),"",('Account Summary'!D21-'Account Summary'!D20)/'Account Summary'!D20)</f>
        <v/>
      </c>
      <c r="H22" s="23" t="str">
        <f aca="false">IF('Account Summary'!E21="","",'Account Summary'!E21)</f>
        <v/>
      </c>
      <c r="I22" s="27" t="str">
        <f aca="false">IF(OR('Account Summary'!E21="",'Account Summary'!E20=""),"",'Account Summary'!E21-'Account Summary'!E20)</f>
        <v/>
      </c>
      <c r="J22" s="20" t="str">
        <f aca="false">IF('Account Summary'!F21="","",'Account Summary'!F21)</f>
        <v/>
      </c>
      <c r="K22" s="21" t="str">
        <f aca="false">IF(OR('Account Summary'!F21="",'Account Summary'!F20="",'Account Summary'!F20=0),"",('Account Summary'!F21-'Account Summary'!F20)/'Account Summary'!F20)</f>
        <v/>
      </c>
      <c r="L22" s="22" t="str">
        <f aca="false">IF('Account Summary'!H21="","",'Account Summary'!H21)</f>
        <v/>
      </c>
      <c r="M22" s="21" t="str">
        <f aca="false">IF(OR('Account Summary'!H21="",'Account Summary'!H20="",'Account Summary'!H20=0),"",('Account Summary'!H21-'Account Summary'!H20)/'Account Summary'!H20)</f>
        <v/>
      </c>
      <c r="N22" s="20" t="str">
        <f aca="false">IF('Account Summary'!I21="","",'Account Summary'!I21)</f>
        <v/>
      </c>
      <c r="O22" s="21" t="str">
        <f aca="false">IF(OR('Account Summary'!I21="",'Account Summary'!I20="",'Account Summary'!I20=0),"",('Account Summary'!I21-'Account Summary'!I20)/'Account Summary'!I20)</f>
        <v/>
      </c>
      <c r="P22" s="28" t="str">
        <f aca="false">IF('Account Summary'!K21="","",'Account Summary'!K21)</f>
        <v/>
      </c>
      <c r="Q22" s="27" t="str">
        <f aca="false">IF(OR('Account Summary'!K21="",'Account Summary'!K20=""),"",'Account Summary'!K21-'Account Summary'!K20)</f>
        <v/>
      </c>
    </row>
    <row r="23" customFormat="false" ht="15" hidden="false" customHeight="false" outlineLevel="0" collapsed="false">
      <c r="A23" s="25" t="str">
        <f aca="false">'Account Summary'!A22</f>
        <v>Month 18</v>
      </c>
      <c r="B23" s="26" t="str">
        <f aca="false">IF('Account Summary'!B22="","",'Account Summary'!B22)</f>
        <v/>
      </c>
      <c r="C23" s="21" t="str">
        <f aca="false">IF(OR('Account Summary'!B22="",'Account Summary'!B21="",'Account Summary'!B21=0),"",('Account Summary'!B22-'Account Summary'!B21)/'Account Summary'!B21)</f>
        <v/>
      </c>
      <c r="D23" s="22" t="str">
        <f aca="false">IF('Account Summary'!C22="","",'Account Summary'!C22)</f>
        <v/>
      </c>
      <c r="E23" s="21" t="str">
        <f aca="false">IF(OR('Account Summary'!C22="",'Account Summary'!C21="",'Account Summary'!C21=0),"",('Account Summary'!C22-'Account Summary'!C21)/'Account Summary'!C21)</f>
        <v/>
      </c>
      <c r="F23" s="22" t="str">
        <f aca="false">IF('Account Summary'!D22="","",'Account Summary'!D22)</f>
        <v/>
      </c>
      <c r="G23" s="21" t="str">
        <f aca="false">IF(OR('Account Summary'!D22="",'Account Summary'!D21="",'Account Summary'!D21=0),"",('Account Summary'!D22-'Account Summary'!D21)/'Account Summary'!D21)</f>
        <v/>
      </c>
      <c r="H23" s="23" t="str">
        <f aca="false">IF('Account Summary'!E22="","",'Account Summary'!E22)</f>
        <v/>
      </c>
      <c r="I23" s="27" t="str">
        <f aca="false">IF(OR('Account Summary'!E22="",'Account Summary'!E21=""),"",'Account Summary'!E22-'Account Summary'!E21)</f>
        <v/>
      </c>
      <c r="J23" s="20" t="str">
        <f aca="false">IF('Account Summary'!F22="","",'Account Summary'!F22)</f>
        <v/>
      </c>
      <c r="K23" s="21" t="str">
        <f aca="false">IF(OR('Account Summary'!F22="",'Account Summary'!F21="",'Account Summary'!F21=0),"",('Account Summary'!F22-'Account Summary'!F21)/'Account Summary'!F21)</f>
        <v/>
      </c>
      <c r="L23" s="22" t="str">
        <f aca="false">IF('Account Summary'!H22="","",'Account Summary'!H22)</f>
        <v/>
      </c>
      <c r="M23" s="21" t="str">
        <f aca="false">IF(OR('Account Summary'!H22="",'Account Summary'!H21="",'Account Summary'!H21=0),"",('Account Summary'!H22-'Account Summary'!H21)/'Account Summary'!H21)</f>
        <v/>
      </c>
      <c r="N23" s="20" t="str">
        <f aca="false">IF('Account Summary'!I22="","",'Account Summary'!I22)</f>
        <v/>
      </c>
      <c r="O23" s="21" t="str">
        <f aca="false">IF(OR('Account Summary'!I22="",'Account Summary'!I21="",'Account Summary'!I21=0),"",('Account Summary'!I22-'Account Summary'!I21)/'Account Summary'!I21)</f>
        <v/>
      </c>
      <c r="P23" s="28" t="str">
        <f aca="false">IF('Account Summary'!K22="","",'Account Summary'!K22)</f>
        <v/>
      </c>
      <c r="Q23" s="27" t="str">
        <f aca="false">IF(OR('Account Summary'!K22="",'Account Summary'!K21=""),"",'Account Summary'!K22-'Account Summary'!K21)</f>
        <v/>
      </c>
    </row>
    <row r="24" customFormat="false" ht="15" hidden="false" customHeight="false" outlineLevel="0" collapsed="false">
      <c r="A24" s="25" t="str">
        <f aca="false">'Account Summary'!A23</f>
        <v>Month 19</v>
      </c>
      <c r="B24" s="26" t="str">
        <f aca="false">IF('Account Summary'!B23="","",'Account Summary'!B23)</f>
        <v/>
      </c>
      <c r="C24" s="21" t="str">
        <f aca="false">IF(OR('Account Summary'!B23="",'Account Summary'!B22="",'Account Summary'!B22=0),"",('Account Summary'!B23-'Account Summary'!B22)/'Account Summary'!B22)</f>
        <v/>
      </c>
      <c r="D24" s="22" t="str">
        <f aca="false">IF('Account Summary'!C23="","",'Account Summary'!C23)</f>
        <v/>
      </c>
      <c r="E24" s="21" t="str">
        <f aca="false">IF(OR('Account Summary'!C23="",'Account Summary'!C22="",'Account Summary'!C22=0),"",('Account Summary'!C23-'Account Summary'!C22)/'Account Summary'!C22)</f>
        <v/>
      </c>
      <c r="F24" s="22" t="str">
        <f aca="false">IF('Account Summary'!D23="","",'Account Summary'!D23)</f>
        <v/>
      </c>
      <c r="G24" s="21" t="str">
        <f aca="false">IF(OR('Account Summary'!D23="",'Account Summary'!D22="",'Account Summary'!D22=0),"",('Account Summary'!D23-'Account Summary'!D22)/'Account Summary'!D22)</f>
        <v/>
      </c>
      <c r="H24" s="23" t="str">
        <f aca="false">IF('Account Summary'!E23="","",'Account Summary'!E23)</f>
        <v/>
      </c>
      <c r="I24" s="27" t="str">
        <f aca="false">IF(OR('Account Summary'!E23="",'Account Summary'!E22=""),"",'Account Summary'!E23-'Account Summary'!E22)</f>
        <v/>
      </c>
      <c r="J24" s="20" t="str">
        <f aca="false">IF('Account Summary'!F23="","",'Account Summary'!F23)</f>
        <v/>
      </c>
      <c r="K24" s="21" t="str">
        <f aca="false">IF(OR('Account Summary'!F23="",'Account Summary'!F22="",'Account Summary'!F22=0),"",('Account Summary'!F23-'Account Summary'!F22)/'Account Summary'!F22)</f>
        <v/>
      </c>
      <c r="L24" s="22" t="str">
        <f aca="false">IF('Account Summary'!H23="","",'Account Summary'!H23)</f>
        <v/>
      </c>
      <c r="M24" s="21" t="str">
        <f aca="false">IF(OR('Account Summary'!H23="",'Account Summary'!H22="",'Account Summary'!H22=0),"",('Account Summary'!H23-'Account Summary'!H22)/'Account Summary'!H22)</f>
        <v/>
      </c>
      <c r="N24" s="20" t="str">
        <f aca="false">IF('Account Summary'!I23="","",'Account Summary'!I23)</f>
        <v/>
      </c>
      <c r="O24" s="21" t="str">
        <f aca="false">IF(OR('Account Summary'!I23="",'Account Summary'!I22="",'Account Summary'!I22=0),"",('Account Summary'!I23-'Account Summary'!I22)/'Account Summary'!I22)</f>
        <v/>
      </c>
      <c r="P24" s="28" t="str">
        <f aca="false">IF('Account Summary'!K23="","",'Account Summary'!K23)</f>
        <v/>
      </c>
      <c r="Q24" s="27" t="str">
        <f aca="false">IF(OR('Account Summary'!K23="",'Account Summary'!K22=""),"",'Account Summary'!K23-'Account Summary'!K22)</f>
        <v/>
      </c>
    </row>
    <row r="25" customFormat="false" ht="15" hidden="false" customHeight="false" outlineLevel="0" collapsed="false">
      <c r="A25" s="25" t="str">
        <f aca="false">'Account Summary'!A24</f>
        <v>Month 20</v>
      </c>
      <c r="B25" s="26" t="str">
        <f aca="false">IF('Account Summary'!B24="","",'Account Summary'!B24)</f>
        <v/>
      </c>
      <c r="C25" s="21" t="str">
        <f aca="false">IF(OR('Account Summary'!B24="",'Account Summary'!B23="",'Account Summary'!B23=0),"",('Account Summary'!B24-'Account Summary'!B23)/'Account Summary'!B23)</f>
        <v/>
      </c>
      <c r="D25" s="22" t="str">
        <f aca="false">IF('Account Summary'!C24="","",'Account Summary'!C24)</f>
        <v/>
      </c>
      <c r="E25" s="21" t="str">
        <f aca="false">IF(OR('Account Summary'!C24="",'Account Summary'!C23="",'Account Summary'!C23=0),"",('Account Summary'!C24-'Account Summary'!C23)/'Account Summary'!C23)</f>
        <v/>
      </c>
      <c r="F25" s="22" t="str">
        <f aca="false">IF('Account Summary'!D24="","",'Account Summary'!D24)</f>
        <v/>
      </c>
      <c r="G25" s="21" t="str">
        <f aca="false">IF(OR('Account Summary'!D24="",'Account Summary'!D23="",'Account Summary'!D23=0),"",('Account Summary'!D24-'Account Summary'!D23)/'Account Summary'!D23)</f>
        <v/>
      </c>
      <c r="H25" s="23" t="str">
        <f aca="false">IF('Account Summary'!E24="","",'Account Summary'!E24)</f>
        <v/>
      </c>
      <c r="I25" s="27" t="str">
        <f aca="false">IF(OR('Account Summary'!E24="",'Account Summary'!E23=""),"",'Account Summary'!E24-'Account Summary'!E23)</f>
        <v/>
      </c>
      <c r="J25" s="20" t="str">
        <f aca="false">IF('Account Summary'!F24="","",'Account Summary'!F24)</f>
        <v/>
      </c>
      <c r="K25" s="21" t="str">
        <f aca="false">IF(OR('Account Summary'!F24="",'Account Summary'!F23="",'Account Summary'!F23=0),"",('Account Summary'!F24-'Account Summary'!F23)/'Account Summary'!F23)</f>
        <v/>
      </c>
      <c r="L25" s="22" t="str">
        <f aca="false">IF('Account Summary'!H24="","",'Account Summary'!H24)</f>
        <v/>
      </c>
      <c r="M25" s="21" t="str">
        <f aca="false">IF(OR('Account Summary'!H24="",'Account Summary'!H23="",'Account Summary'!H23=0),"",('Account Summary'!H24-'Account Summary'!H23)/'Account Summary'!H23)</f>
        <v/>
      </c>
      <c r="N25" s="20" t="str">
        <f aca="false">IF('Account Summary'!I24="","",'Account Summary'!I24)</f>
        <v/>
      </c>
      <c r="O25" s="21" t="str">
        <f aca="false">IF(OR('Account Summary'!I24="",'Account Summary'!I23="",'Account Summary'!I23=0),"",('Account Summary'!I24-'Account Summary'!I23)/'Account Summary'!I23)</f>
        <v/>
      </c>
      <c r="P25" s="28" t="str">
        <f aca="false">IF('Account Summary'!K24="","",'Account Summary'!K24)</f>
        <v/>
      </c>
      <c r="Q25" s="27" t="str">
        <f aca="false">IF(OR('Account Summary'!K24="",'Account Summary'!K23=""),"",'Account Summary'!K24-'Account Summary'!K23)</f>
        <v/>
      </c>
    </row>
    <row r="26" customFormat="false" ht="15" hidden="false" customHeight="false" outlineLevel="0" collapsed="false">
      <c r="A26" s="25" t="str">
        <f aca="false">'Account Summary'!A25</f>
        <v>Month 21</v>
      </c>
      <c r="B26" s="26" t="str">
        <f aca="false">IF('Account Summary'!B25="","",'Account Summary'!B25)</f>
        <v/>
      </c>
      <c r="C26" s="21" t="str">
        <f aca="false">IF(OR('Account Summary'!B25="",'Account Summary'!B24="",'Account Summary'!B24=0),"",('Account Summary'!B25-'Account Summary'!B24)/'Account Summary'!B24)</f>
        <v/>
      </c>
      <c r="D26" s="22" t="str">
        <f aca="false">IF('Account Summary'!C25="","",'Account Summary'!C25)</f>
        <v/>
      </c>
      <c r="E26" s="21" t="str">
        <f aca="false">IF(OR('Account Summary'!C25="",'Account Summary'!C24="",'Account Summary'!C24=0),"",('Account Summary'!C25-'Account Summary'!C24)/'Account Summary'!C24)</f>
        <v/>
      </c>
      <c r="F26" s="22" t="str">
        <f aca="false">IF('Account Summary'!D25="","",'Account Summary'!D25)</f>
        <v/>
      </c>
      <c r="G26" s="21" t="str">
        <f aca="false">IF(OR('Account Summary'!D25="",'Account Summary'!D24="",'Account Summary'!D24=0),"",('Account Summary'!D25-'Account Summary'!D24)/'Account Summary'!D24)</f>
        <v/>
      </c>
      <c r="H26" s="23" t="str">
        <f aca="false">IF('Account Summary'!E25="","",'Account Summary'!E25)</f>
        <v/>
      </c>
      <c r="I26" s="27" t="str">
        <f aca="false">IF(OR('Account Summary'!E25="",'Account Summary'!E24=""),"",'Account Summary'!E25-'Account Summary'!E24)</f>
        <v/>
      </c>
      <c r="J26" s="20" t="str">
        <f aca="false">IF('Account Summary'!F25="","",'Account Summary'!F25)</f>
        <v/>
      </c>
      <c r="K26" s="21" t="str">
        <f aca="false">IF(OR('Account Summary'!F25="",'Account Summary'!F24="",'Account Summary'!F24=0),"",('Account Summary'!F25-'Account Summary'!F24)/'Account Summary'!F24)</f>
        <v/>
      </c>
      <c r="L26" s="22" t="str">
        <f aca="false">IF('Account Summary'!H25="","",'Account Summary'!H25)</f>
        <v/>
      </c>
      <c r="M26" s="21" t="str">
        <f aca="false">IF(OR('Account Summary'!H25="",'Account Summary'!H24="",'Account Summary'!H24=0),"",('Account Summary'!H25-'Account Summary'!H24)/'Account Summary'!H24)</f>
        <v/>
      </c>
      <c r="N26" s="20" t="str">
        <f aca="false">IF('Account Summary'!I25="","",'Account Summary'!I25)</f>
        <v/>
      </c>
      <c r="O26" s="21" t="str">
        <f aca="false">IF(OR('Account Summary'!I25="",'Account Summary'!I24="",'Account Summary'!I24=0),"",('Account Summary'!I25-'Account Summary'!I24)/'Account Summary'!I24)</f>
        <v/>
      </c>
      <c r="P26" s="28" t="str">
        <f aca="false">IF('Account Summary'!K25="","",'Account Summary'!K25)</f>
        <v/>
      </c>
      <c r="Q26" s="27" t="str">
        <f aca="false">IF(OR('Account Summary'!K25="",'Account Summary'!K24=""),"",'Account Summary'!K25-'Account Summary'!K24)</f>
        <v/>
      </c>
    </row>
    <row r="27" customFormat="false" ht="15" hidden="false" customHeight="false" outlineLevel="0" collapsed="false">
      <c r="A27" s="25" t="str">
        <f aca="false">'Account Summary'!A26</f>
        <v>Month 22</v>
      </c>
      <c r="B27" s="26" t="str">
        <f aca="false">IF('Account Summary'!B26="","",'Account Summary'!B26)</f>
        <v/>
      </c>
      <c r="C27" s="21" t="str">
        <f aca="false">IF(OR('Account Summary'!B26="",'Account Summary'!B25="",'Account Summary'!B25=0),"",('Account Summary'!B26-'Account Summary'!B25)/'Account Summary'!B25)</f>
        <v/>
      </c>
      <c r="D27" s="22" t="str">
        <f aca="false">IF('Account Summary'!C26="","",'Account Summary'!C26)</f>
        <v/>
      </c>
      <c r="E27" s="21" t="str">
        <f aca="false">IF(OR('Account Summary'!C26="",'Account Summary'!C25="",'Account Summary'!C25=0),"",('Account Summary'!C26-'Account Summary'!C25)/'Account Summary'!C25)</f>
        <v/>
      </c>
      <c r="F27" s="22" t="str">
        <f aca="false">IF('Account Summary'!D26="","",'Account Summary'!D26)</f>
        <v/>
      </c>
      <c r="G27" s="21" t="str">
        <f aca="false">IF(OR('Account Summary'!D26="",'Account Summary'!D25="",'Account Summary'!D25=0),"",('Account Summary'!D26-'Account Summary'!D25)/'Account Summary'!D25)</f>
        <v/>
      </c>
      <c r="H27" s="23" t="str">
        <f aca="false">IF('Account Summary'!E26="","",'Account Summary'!E26)</f>
        <v/>
      </c>
      <c r="I27" s="27" t="str">
        <f aca="false">IF(OR('Account Summary'!E26="",'Account Summary'!E25=""),"",'Account Summary'!E26-'Account Summary'!E25)</f>
        <v/>
      </c>
      <c r="J27" s="20" t="str">
        <f aca="false">IF('Account Summary'!F26="","",'Account Summary'!F26)</f>
        <v/>
      </c>
      <c r="K27" s="21" t="str">
        <f aca="false">IF(OR('Account Summary'!F26="",'Account Summary'!F25="",'Account Summary'!F25=0),"",('Account Summary'!F26-'Account Summary'!F25)/'Account Summary'!F25)</f>
        <v/>
      </c>
      <c r="L27" s="22" t="str">
        <f aca="false">IF('Account Summary'!H26="","",'Account Summary'!H26)</f>
        <v/>
      </c>
      <c r="M27" s="21" t="str">
        <f aca="false">IF(OR('Account Summary'!H26="",'Account Summary'!H25="",'Account Summary'!H25=0),"",('Account Summary'!H26-'Account Summary'!H25)/'Account Summary'!H25)</f>
        <v/>
      </c>
      <c r="N27" s="20" t="str">
        <f aca="false">IF('Account Summary'!I26="","",'Account Summary'!I26)</f>
        <v/>
      </c>
      <c r="O27" s="21" t="str">
        <f aca="false">IF(OR('Account Summary'!I26="",'Account Summary'!I25="",'Account Summary'!I25=0),"",('Account Summary'!I26-'Account Summary'!I25)/'Account Summary'!I25)</f>
        <v/>
      </c>
      <c r="P27" s="28" t="str">
        <f aca="false">IF('Account Summary'!K26="","",'Account Summary'!K26)</f>
        <v/>
      </c>
      <c r="Q27" s="27" t="str">
        <f aca="false">IF(OR('Account Summary'!K26="",'Account Summary'!K25=""),"",'Account Summary'!K26-'Account Summary'!K25)</f>
        <v/>
      </c>
    </row>
    <row r="28" customFormat="false" ht="15" hidden="false" customHeight="false" outlineLevel="0" collapsed="false">
      <c r="A28" s="25" t="str">
        <f aca="false">'Account Summary'!A27</f>
        <v>Month 23</v>
      </c>
      <c r="B28" s="26" t="str">
        <f aca="false">IF('Account Summary'!B27="","",'Account Summary'!B27)</f>
        <v/>
      </c>
      <c r="C28" s="21" t="str">
        <f aca="false">IF(OR('Account Summary'!B27="",'Account Summary'!B26="",'Account Summary'!B26=0),"",('Account Summary'!B27-'Account Summary'!B26)/'Account Summary'!B26)</f>
        <v/>
      </c>
      <c r="D28" s="22" t="str">
        <f aca="false">IF('Account Summary'!C27="","",'Account Summary'!C27)</f>
        <v/>
      </c>
      <c r="E28" s="21" t="str">
        <f aca="false">IF(OR('Account Summary'!C27="",'Account Summary'!C26="",'Account Summary'!C26=0),"",('Account Summary'!C27-'Account Summary'!C26)/'Account Summary'!C26)</f>
        <v/>
      </c>
      <c r="F28" s="22" t="str">
        <f aca="false">IF('Account Summary'!D27="","",'Account Summary'!D27)</f>
        <v/>
      </c>
      <c r="G28" s="21" t="str">
        <f aca="false">IF(OR('Account Summary'!D27="",'Account Summary'!D26="",'Account Summary'!D26=0),"",('Account Summary'!D27-'Account Summary'!D26)/'Account Summary'!D26)</f>
        <v/>
      </c>
      <c r="H28" s="23" t="str">
        <f aca="false">IF('Account Summary'!E27="","",'Account Summary'!E27)</f>
        <v/>
      </c>
      <c r="I28" s="27" t="str">
        <f aca="false">IF(OR('Account Summary'!E27="",'Account Summary'!E26=""),"",'Account Summary'!E27-'Account Summary'!E26)</f>
        <v/>
      </c>
      <c r="J28" s="20" t="str">
        <f aca="false">IF('Account Summary'!F27="","",'Account Summary'!F27)</f>
        <v/>
      </c>
      <c r="K28" s="21" t="str">
        <f aca="false">IF(OR('Account Summary'!F27="",'Account Summary'!F26="",'Account Summary'!F26=0),"",('Account Summary'!F27-'Account Summary'!F26)/'Account Summary'!F26)</f>
        <v/>
      </c>
      <c r="L28" s="22" t="str">
        <f aca="false">IF('Account Summary'!H27="","",'Account Summary'!H27)</f>
        <v/>
      </c>
      <c r="M28" s="21" t="str">
        <f aca="false">IF(OR('Account Summary'!H27="",'Account Summary'!H26="",'Account Summary'!H26=0),"",('Account Summary'!H27-'Account Summary'!H26)/'Account Summary'!H26)</f>
        <v/>
      </c>
      <c r="N28" s="20" t="str">
        <f aca="false">IF('Account Summary'!I27="","",'Account Summary'!I27)</f>
        <v/>
      </c>
      <c r="O28" s="21" t="str">
        <f aca="false">IF(OR('Account Summary'!I27="",'Account Summary'!I26="",'Account Summary'!I26=0),"",('Account Summary'!I27-'Account Summary'!I26)/'Account Summary'!I26)</f>
        <v/>
      </c>
      <c r="P28" s="28" t="str">
        <f aca="false">IF('Account Summary'!K27="","",'Account Summary'!K27)</f>
        <v/>
      </c>
      <c r="Q28" s="27" t="str">
        <f aca="false">IF(OR('Account Summary'!K27="",'Account Summary'!K26=""),"",'Account Summary'!K27-'Account Summary'!K26)</f>
        <v/>
      </c>
    </row>
    <row r="29" customFormat="false" ht="15" hidden="false" customHeight="false" outlineLevel="0" collapsed="false">
      <c r="A29" s="25" t="str">
        <f aca="false">'Account Summary'!A28</f>
        <v>Month 24</v>
      </c>
      <c r="B29" s="26" t="str">
        <f aca="false">IF('Account Summary'!B28="","",'Account Summary'!B28)</f>
        <v/>
      </c>
      <c r="C29" s="21" t="str">
        <f aca="false">IF(OR('Account Summary'!B28="",'Account Summary'!B27="",'Account Summary'!B27=0),"",('Account Summary'!B28-'Account Summary'!B27)/'Account Summary'!B27)</f>
        <v/>
      </c>
      <c r="D29" s="22" t="str">
        <f aca="false">IF('Account Summary'!C28="","",'Account Summary'!C28)</f>
        <v/>
      </c>
      <c r="E29" s="21" t="str">
        <f aca="false">IF(OR('Account Summary'!C28="",'Account Summary'!C27="",'Account Summary'!C27=0),"",('Account Summary'!C28-'Account Summary'!C27)/'Account Summary'!C27)</f>
        <v/>
      </c>
      <c r="F29" s="22" t="str">
        <f aca="false">IF('Account Summary'!D28="","",'Account Summary'!D28)</f>
        <v/>
      </c>
      <c r="G29" s="21" t="str">
        <f aca="false">IF(OR('Account Summary'!D28="",'Account Summary'!D27="",'Account Summary'!D27=0),"",('Account Summary'!D28-'Account Summary'!D27)/'Account Summary'!D27)</f>
        <v/>
      </c>
      <c r="H29" s="23" t="str">
        <f aca="false">IF('Account Summary'!E28="","",'Account Summary'!E28)</f>
        <v/>
      </c>
      <c r="I29" s="27" t="str">
        <f aca="false">IF(OR('Account Summary'!E28="",'Account Summary'!E27=""),"",'Account Summary'!E28-'Account Summary'!E27)</f>
        <v/>
      </c>
      <c r="J29" s="20" t="str">
        <f aca="false">IF('Account Summary'!F28="","",'Account Summary'!F28)</f>
        <v/>
      </c>
      <c r="K29" s="21" t="str">
        <f aca="false">IF(OR('Account Summary'!F28="",'Account Summary'!F27="",'Account Summary'!F27=0),"",('Account Summary'!F28-'Account Summary'!F27)/'Account Summary'!F27)</f>
        <v/>
      </c>
      <c r="L29" s="22" t="str">
        <f aca="false">IF('Account Summary'!H28="","",'Account Summary'!H28)</f>
        <v/>
      </c>
      <c r="M29" s="21" t="str">
        <f aca="false">IF(OR('Account Summary'!H28="",'Account Summary'!H27="",'Account Summary'!H27=0),"",('Account Summary'!H28-'Account Summary'!H27)/'Account Summary'!H27)</f>
        <v/>
      </c>
      <c r="N29" s="20" t="str">
        <f aca="false">IF('Account Summary'!I28="","",'Account Summary'!I28)</f>
        <v/>
      </c>
      <c r="O29" s="21" t="str">
        <f aca="false">IF(OR('Account Summary'!I28="",'Account Summary'!I27="",'Account Summary'!I27=0),"",('Account Summary'!I28-'Account Summary'!I27)/'Account Summary'!I27)</f>
        <v/>
      </c>
      <c r="P29" s="28" t="str">
        <f aca="false">IF('Account Summary'!K28="","",'Account Summary'!K28)</f>
        <v/>
      </c>
      <c r="Q29" s="27" t="str">
        <f aca="false">IF(OR('Account Summary'!K28="",'Account Summary'!K27=""),"",'Account Summary'!K28-'Account Summary'!K27)</f>
        <v/>
      </c>
    </row>
    <row r="31" customFormat="false" ht="15" hidden="false" customHeight="true" outlineLevel="0" collapsed="false">
      <c r="A31" s="29" t="s">
        <v>89</v>
      </c>
      <c r="B31" s="29"/>
      <c r="C31" s="29"/>
      <c r="D31" s="29"/>
      <c r="E31" s="29"/>
      <c r="F31" s="29"/>
      <c r="G31" s="29"/>
      <c r="H31" s="29"/>
      <c r="I31" s="29"/>
      <c r="J31" s="29"/>
      <c r="K31" s="29"/>
      <c r="L31" s="29"/>
      <c r="M31" s="29"/>
      <c r="N31" s="29"/>
      <c r="O31" s="29"/>
      <c r="P31" s="29"/>
      <c r="Q31" s="29"/>
    </row>
  </sheetData>
  <mergeCells count="12">
    <mergeCell ref="A1:Q1"/>
    <mergeCell ref="A2:Q2"/>
    <mergeCell ref="A4:A5"/>
    <mergeCell ref="B4:C4"/>
    <mergeCell ref="D4:E4"/>
    <mergeCell ref="F4:G4"/>
    <mergeCell ref="H4:I4"/>
    <mergeCell ref="J4:K4"/>
    <mergeCell ref="L4:M4"/>
    <mergeCell ref="N4:O4"/>
    <mergeCell ref="P4:Q4"/>
    <mergeCell ref="A31:Q31"/>
  </mergeCells>
  <conditionalFormatting sqref="C6:C29">
    <cfRule type="cellIs" priority="2" operator="greaterThan" aboveAverage="0" equalAverage="0" bottom="0" percent="0" rank="0" text="" dxfId="6">
      <formula>0</formula>
    </cfRule>
    <cfRule type="cellIs" priority="3" operator="lessThan" aboveAverage="0" equalAverage="0" bottom="0" percent="0" rank="0" text="" dxfId="7">
      <formula>0</formula>
    </cfRule>
  </conditionalFormatting>
  <conditionalFormatting sqref="E6:E29">
    <cfRule type="cellIs" priority="4" operator="greaterThan" aboveAverage="0" equalAverage="0" bottom="0" percent="0" rank="0" text="" dxfId="6">
      <formula>0</formula>
    </cfRule>
    <cfRule type="cellIs" priority="5" operator="lessThan" aboveAverage="0" equalAverage="0" bottom="0" percent="0" rank="0" text="" dxfId="7">
      <formula>0</formula>
    </cfRule>
  </conditionalFormatting>
  <conditionalFormatting sqref="G6:G29">
    <cfRule type="cellIs" priority="6" operator="greaterThan" aboveAverage="0" equalAverage="0" bottom="0" percent="0" rank="0" text="" dxfId="6">
      <formula>0</formula>
    </cfRule>
    <cfRule type="cellIs" priority="7" operator="lessThan" aboveAverage="0" equalAverage="0" bottom="0" percent="0" rank="0" text="" dxfId="7">
      <formula>0</formula>
    </cfRule>
  </conditionalFormatting>
  <conditionalFormatting sqref="I6:I29">
    <cfRule type="cellIs" priority="8" operator="greaterThan" aboveAverage="0" equalAverage="0" bottom="0" percent="0" rank="0" text="" dxfId="6">
      <formula>0</formula>
    </cfRule>
    <cfRule type="cellIs" priority="9" operator="lessThan" aboveAverage="0" equalAverage="0" bottom="0" percent="0" rank="0" text="" dxfId="7">
      <formula>0</formula>
    </cfRule>
  </conditionalFormatting>
  <conditionalFormatting sqref="K6:K29">
    <cfRule type="cellIs" priority="10" operator="greaterThan" aboveAverage="0" equalAverage="0" bottom="0" percent="0" rank="0" text="" dxfId="6">
      <formula>0</formula>
    </cfRule>
    <cfRule type="cellIs" priority="11" operator="lessThan" aboveAverage="0" equalAverage="0" bottom="0" percent="0" rank="0" text="" dxfId="7">
      <formula>0</formula>
    </cfRule>
  </conditionalFormatting>
  <conditionalFormatting sqref="M6:M29">
    <cfRule type="cellIs" priority="12" operator="greaterThan" aboveAverage="0" equalAverage="0" bottom="0" percent="0" rank="0" text="" dxfId="6">
      <formula>0</formula>
    </cfRule>
    <cfRule type="cellIs" priority="13" operator="lessThan" aboveAverage="0" equalAverage="0" bottom="0" percent="0" rank="0" text="" dxfId="7">
      <formula>0</formula>
    </cfRule>
  </conditionalFormatting>
  <conditionalFormatting sqref="O6:O29">
    <cfRule type="cellIs" priority="14" operator="greaterThan" aboveAverage="0" equalAverage="0" bottom="0" percent="0" rank="0" text="" dxfId="6">
      <formula>0</formula>
    </cfRule>
    <cfRule type="cellIs" priority="15" operator="lessThan" aboveAverage="0" equalAverage="0" bottom="0" percent="0" rank="0" text="" dxfId="7">
      <formula>0</formula>
    </cfRule>
  </conditionalFormatting>
  <conditionalFormatting sqref="Q6:Q29">
    <cfRule type="cellIs" priority="16" operator="greaterThan" aboveAverage="0" equalAverage="0" bottom="0" percent="0" rank="0" text="" dxfId="6">
      <formula>0</formula>
    </cfRule>
    <cfRule type="cellIs" priority="17" operator="lessThan" aboveAverage="0" equalAverage="0" bottom="0" percent="0" rank="0" text="" dxfId="7">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N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14"/>
    <col collapsed="false" customWidth="true" hidden="false" outlineLevel="0" max="4" min="4" style="0" width="16"/>
    <col collapsed="false" customWidth="true" hidden="false" outlineLevel="0" max="5" min="5" style="0" width="11"/>
    <col collapsed="false" customWidth="true" hidden="false" outlineLevel="0" max="7" min="6" style="0" width="8"/>
    <col collapsed="false" customWidth="true" hidden="false" outlineLevel="0" max="9" min="8" style="0" width="9"/>
    <col collapsed="false" customWidth="true" hidden="false" outlineLevel="0" max="10" min="10" style="0" width="8"/>
    <col collapsed="false" customWidth="true" hidden="false" outlineLevel="0" max="11" min="11" style="0" width="11"/>
    <col collapsed="false" customWidth="true" hidden="false" outlineLevel="0" max="12" min="12" style="0" width="9"/>
    <col collapsed="false" customWidth="true" hidden="false" outlineLevel="0" max="13" min="13" style="0" width="15"/>
    <col collapsed="false" customWidth="true" hidden="false" outlineLevel="0" max="14" min="14" style="0" width="12"/>
  </cols>
  <sheetData>
    <row r="1" customFormat="false" ht="30" hidden="false" customHeight="true" outlineLevel="0" collapsed="false">
      <c r="A1" s="1" t="s">
        <v>90</v>
      </c>
      <c r="B1" s="1"/>
      <c r="C1" s="1"/>
      <c r="D1" s="1"/>
      <c r="E1" s="1"/>
      <c r="F1" s="1"/>
      <c r="G1" s="1"/>
      <c r="H1" s="1"/>
      <c r="I1" s="1"/>
      <c r="J1" s="1"/>
      <c r="K1" s="1"/>
      <c r="L1" s="1"/>
      <c r="M1" s="1"/>
      <c r="N1" s="1"/>
    </row>
    <row r="2" customFormat="false" ht="18" hidden="false" customHeight="true" outlineLevel="0" collapsed="false">
      <c r="A2" s="2" t="s">
        <v>91</v>
      </c>
      <c r="B2" s="2"/>
      <c r="C2" s="2"/>
      <c r="D2" s="2"/>
      <c r="E2" s="2"/>
      <c r="F2" s="2"/>
      <c r="G2" s="2"/>
      <c r="H2" s="2"/>
      <c r="I2" s="2"/>
      <c r="J2" s="2"/>
      <c r="K2" s="2"/>
      <c r="L2" s="2"/>
      <c r="M2" s="2"/>
      <c r="N2" s="2"/>
    </row>
    <row r="4" customFormat="false" ht="27.75" hidden="false" customHeight="true" outlineLevel="0" collapsed="false">
      <c r="A4" s="8" t="s">
        <v>39</v>
      </c>
      <c r="B4" s="8" t="s">
        <v>92</v>
      </c>
      <c r="C4" s="8" t="s">
        <v>93</v>
      </c>
      <c r="D4" s="8" t="s">
        <v>94</v>
      </c>
      <c r="E4" s="8" t="s">
        <v>41</v>
      </c>
      <c r="F4" s="8" t="s">
        <v>42</v>
      </c>
      <c r="G4" s="8" t="s">
        <v>43</v>
      </c>
      <c r="H4" s="8" t="s">
        <v>44</v>
      </c>
      <c r="I4" s="8" t="s">
        <v>40</v>
      </c>
      <c r="J4" s="8" t="s">
        <v>46</v>
      </c>
      <c r="K4" s="8" t="s">
        <v>47</v>
      </c>
      <c r="L4" s="8" t="s">
        <v>48</v>
      </c>
      <c r="M4" s="8" t="s">
        <v>49</v>
      </c>
      <c r="N4" s="8" t="s">
        <v>95</v>
      </c>
    </row>
    <row r="5" customFormat="false" ht="15" hidden="false" customHeight="false" outlineLevel="0" collapsed="false">
      <c r="A5" s="9" t="s">
        <v>53</v>
      </c>
      <c r="B5" s="30" t="s">
        <v>96</v>
      </c>
      <c r="C5" s="18" t="s">
        <v>97</v>
      </c>
      <c r="D5" s="18" t="s">
        <v>98</v>
      </c>
      <c r="E5" s="11" t="n">
        <v>90000</v>
      </c>
      <c r="F5" s="11" t="n">
        <v>520</v>
      </c>
      <c r="G5" s="12" t="n">
        <f aca="false">IF(OR(E5="",E5=0),"",F5/E5)</f>
        <v>0.00577777777777778</v>
      </c>
      <c r="H5" s="13" t="n">
        <f aca="false">IF(OR(F5="",F5=0),"",I5/F5)</f>
        <v>4.61538461538462</v>
      </c>
      <c r="I5" s="10" t="n">
        <v>2400</v>
      </c>
      <c r="J5" s="11" t="n">
        <v>28</v>
      </c>
      <c r="K5" s="13" t="n">
        <f aca="false">IF(OR(J5="",J5=0),"",I5/J5)</f>
        <v>85.7142857142857</v>
      </c>
      <c r="L5" s="12" t="n">
        <f aca="false">IF(OR(F5="",F5=0),"",J5/F5)</f>
        <v>0.0538461538461539</v>
      </c>
      <c r="M5" s="14" t="n">
        <v>0.022</v>
      </c>
      <c r="N5" s="31" t="str">
        <f aca="false">IF(AND(I5&gt;0,N(J5)=0),"No leads",IF(AND(G5&lt;&gt;"",G5&lt;0.004),"Low CTR",""))</f>
        <v/>
      </c>
    </row>
    <row r="6" customFormat="false" ht="15" hidden="false" customHeight="false" outlineLevel="0" collapsed="false">
      <c r="A6" s="9" t="s">
        <v>53</v>
      </c>
      <c r="B6" s="30" t="s">
        <v>99</v>
      </c>
      <c r="C6" s="18" t="s">
        <v>100</v>
      </c>
      <c r="D6" s="18" t="s">
        <v>101</v>
      </c>
      <c r="E6" s="11" t="n">
        <v>110000</v>
      </c>
      <c r="F6" s="11" t="n">
        <v>700</v>
      </c>
      <c r="G6" s="12" t="n">
        <f aca="false">IF(OR(E6="",E6=0),"",F6/E6)</f>
        <v>0.00636363636363636</v>
      </c>
      <c r="H6" s="13" t="n">
        <f aca="false">IF(OR(F6="",F6=0),"",I6/F6)</f>
        <v>3</v>
      </c>
      <c r="I6" s="10" t="n">
        <v>2100</v>
      </c>
      <c r="J6" s="11" t="n">
        <v>12</v>
      </c>
      <c r="K6" s="13" t="n">
        <f aca="false">IF(OR(J6="",J6=0),"",I6/J6)</f>
        <v>175</v>
      </c>
      <c r="L6" s="12" t="n">
        <f aca="false">IF(OR(F6="",F6=0),"",J6/F6)</f>
        <v>0.0171428571428571</v>
      </c>
      <c r="M6" s="14" t="n">
        <v>0.018</v>
      </c>
      <c r="N6" s="31" t="str">
        <f aca="false">IF(AND(I6&gt;0,N(J6)=0),"No leads",IF(AND(G6&lt;&gt;"",G6&lt;0.004),"Low CTR",""))</f>
        <v/>
      </c>
    </row>
    <row r="7" customFormat="false" ht="15" hidden="false" customHeight="false" outlineLevel="0" collapsed="false">
      <c r="A7" s="9" t="s">
        <v>53</v>
      </c>
      <c r="B7" s="30" t="s">
        <v>102</v>
      </c>
      <c r="C7" s="18" t="s">
        <v>103</v>
      </c>
      <c r="D7" s="18" t="s">
        <v>104</v>
      </c>
      <c r="E7" s="11" t="n">
        <v>140000</v>
      </c>
      <c r="F7" s="11" t="n">
        <v>600</v>
      </c>
      <c r="G7" s="12" t="n">
        <f aca="false">IF(OR(E7="",E7=0),"",F7/E7)</f>
        <v>0.00428571428571429</v>
      </c>
      <c r="H7" s="13" t="n">
        <f aca="false">IF(OR(F7="",F7=0),"",I7/F7)</f>
        <v>2.5</v>
      </c>
      <c r="I7" s="10" t="n">
        <v>1500</v>
      </c>
      <c r="J7" s="11" t="n">
        <v>4</v>
      </c>
      <c r="K7" s="13" t="n">
        <f aca="false">IF(OR(J7="",J7=0),"",I7/J7)</f>
        <v>375</v>
      </c>
      <c r="L7" s="12" t="n">
        <f aca="false">IF(OR(F7="",F7=0),"",J7/F7)</f>
        <v>0.00666666666666667</v>
      </c>
      <c r="M7" s="14" t="n">
        <v>0.03</v>
      </c>
      <c r="N7" s="31" t="str">
        <f aca="false">IF(AND(I7&gt;0,N(J7)=0),"No leads",IF(AND(G7&lt;&gt;"",G7&lt;0.004),"Low CTR",""))</f>
        <v/>
      </c>
    </row>
    <row r="8" customFormat="false" ht="15" hidden="false" customHeight="false" outlineLevel="0" collapsed="false">
      <c r="A8" s="9" t="s">
        <v>53</v>
      </c>
      <c r="B8" s="30" t="s">
        <v>105</v>
      </c>
      <c r="C8" s="18" t="s">
        <v>103</v>
      </c>
      <c r="D8" s="18" t="s">
        <v>106</v>
      </c>
      <c r="E8" s="11" t="n">
        <v>180000</v>
      </c>
      <c r="F8" s="11" t="n">
        <v>300</v>
      </c>
      <c r="G8" s="12" t="n">
        <f aca="false">IF(OR(E8="",E8=0),"",F8/E8)</f>
        <v>0.00166666666666667</v>
      </c>
      <c r="H8" s="13" t="n">
        <f aca="false">IF(OR(F8="",F8=0),"",I8/F8)</f>
        <v>4</v>
      </c>
      <c r="I8" s="10" t="n">
        <v>1200</v>
      </c>
      <c r="J8" s="11" t="n">
        <v>0</v>
      </c>
      <c r="K8" s="13" t="str">
        <f aca="false">IF(OR(J8="",J8=0),"",I8/J8)</f>
        <v/>
      </c>
      <c r="L8" s="12" t="n">
        <f aca="false">IF(OR(F8="",F8=0),"",J8/F8)</f>
        <v>0</v>
      </c>
      <c r="M8" s="14" t="n">
        <v>0.015</v>
      </c>
      <c r="N8" s="31" t="str">
        <f aca="false">IF(AND(I8&gt;0,N(J8)=0),"No leads",IF(AND(G8&lt;&gt;"",G8&lt;0.004),"Low CTR",""))</f>
        <v>No leads</v>
      </c>
    </row>
    <row r="9" customFormat="false" ht="15" hidden="false" customHeight="false" outlineLevel="0" collapsed="false">
      <c r="A9" s="9" t="s">
        <v>53</v>
      </c>
      <c r="B9" s="30" t="s">
        <v>107</v>
      </c>
      <c r="C9" s="18" t="s">
        <v>108</v>
      </c>
      <c r="D9" s="18" t="s">
        <v>98</v>
      </c>
      <c r="E9" s="11" t="n">
        <v>70000</v>
      </c>
      <c r="F9" s="11" t="n">
        <v>480</v>
      </c>
      <c r="G9" s="12" t="n">
        <f aca="false">IF(OR(E9="",E9=0),"",F9/E9)</f>
        <v>0.00685714285714286</v>
      </c>
      <c r="H9" s="13" t="n">
        <f aca="false">IF(OR(F9="",F9=0),"",I9/F9)</f>
        <v>2.70833333333333</v>
      </c>
      <c r="I9" s="10" t="n">
        <v>1300</v>
      </c>
      <c r="J9" s="11" t="n">
        <v>19</v>
      </c>
      <c r="K9" s="13" t="n">
        <f aca="false">IF(OR(J9="",J9=0),"",I9/J9)</f>
        <v>68.421052631579</v>
      </c>
      <c r="L9" s="12" t="n">
        <f aca="false">IF(OR(F9="",F9=0),"",J9/F9)</f>
        <v>0.0395833333333333</v>
      </c>
      <c r="M9" s="14" t="n">
        <v>0.024</v>
      </c>
      <c r="N9" s="31" t="str">
        <f aca="false">IF(AND(I9&gt;0,N(J9)=0),"No leads",IF(AND(G9&lt;&gt;"",G9&lt;0.004),"Low CTR",""))</f>
        <v/>
      </c>
    </row>
    <row r="11" customFormat="false" ht="45.75" hidden="false" customHeight="true" outlineLevel="0" collapsed="false">
      <c r="A11" s="32" t="s">
        <v>109</v>
      </c>
      <c r="B11" s="32"/>
      <c r="C11" s="32"/>
      <c r="D11" s="32"/>
      <c r="E11" s="32"/>
      <c r="F11" s="32"/>
      <c r="G11" s="32"/>
      <c r="H11" s="32"/>
      <c r="I11" s="32"/>
      <c r="J11" s="32"/>
      <c r="K11" s="32"/>
      <c r="L11" s="32"/>
      <c r="M11" s="32"/>
      <c r="N11" s="32"/>
    </row>
    <row r="12" customFormat="false" ht="15" hidden="false" customHeight="false" outlineLevel="0" collapsed="false">
      <c r="A12" s="32"/>
      <c r="B12" s="32"/>
      <c r="C12" s="32"/>
      <c r="D12" s="32"/>
      <c r="E12" s="32"/>
      <c r="F12" s="32"/>
      <c r="G12" s="32"/>
      <c r="H12" s="32"/>
      <c r="I12" s="32"/>
      <c r="J12" s="32"/>
      <c r="K12" s="32"/>
      <c r="L12" s="32"/>
      <c r="M12" s="32"/>
      <c r="N12" s="32"/>
    </row>
    <row r="13" customFormat="false" ht="15" hidden="false" customHeight="false" outlineLevel="0" collapsed="false">
      <c r="A13" s="32"/>
      <c r="B13" s="32"/>
      <c r="C13" s="32"/>
      <c r="D13" s="32"/>
      <c r="E13" s="32"/>
      <c r="F13" s="32"/>
      <c r="G13" s="32"/>
      <c r="H13" s="32"/>
      <c r="I13" s="32"/>
      <c r="J13" s="32"/>
      <c r="K13" s="32"/>
      <c r="L13" s="32"/>
      <c r="M13" s="32"/>
      <c r="N13" s="32"/>
    </row>
  </sheetData>
  <autoFilter ref="A4:N9"/>
  <mergeCells count="3">
    <mergeCell ref="A1:N1"/>
    <mergeCell ref="A2:N2"/>
    <mergeCell ref="A11:N13"/>
  </mergeCells>
  <conditionalFormatting sqref="N5:N9">
    <cfRule type="cellIs" priority="2" operator="equal" aboveAverage="0" equalAverage="0" bottom="0" percent="0" rank="0" text="" dxfId="10">
      <formula>"No leads"</formula>
    </cfRule>
    <cfRule type="cellIs" priority="3" operator="equal" aboveAverage="0" equalAverage="0" bottom="0" percent="0" rank="0" text="" dxfId="11">
      <formula>"Low CTR"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I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2"/>
    <col collapsed="false" customWidth="true" hidden="false" outlineLevel="0" max="3" min="3" style="0" width="9"/>
    <col collapsed="false" customWidth="true" hidden="false" outlineLevel="0" max="4" min="4" style="0" width="8"/>
    <col collapsed="false" customWidth="true" hidden="false" outlineLevel="0" max="5" min="5" style="0" width="11"/>
    <col collapsed="false" customWidth="true" hidden="false" outlineLevel="0" max="6" min="6" style="0" width="8"/>
    <col collapsed="false" customWidth="true" hidden="false" outlineLevel="0" max="7" min="7" style="0" width="12"/>
    <col collapsed="false" customWidth="true" hidden="false" outlineLevel="0" max="8" min="8" style="0" width="10"/>
    <col collapsed="false" customWidth="true" hidden="false" outlineLevel="0" max="9" min="9" style="0" width="13"/>
  </cols>
  <sheetData>
    <row r="1" customFormat="false" ht="30" hidden="false" customHeight="true" outlineLevel="0" collapsed="false">
      <c r="A1" s="1" t="s">
        <v>110</v>
      </c>
      <c r="B1" s="1"/>
      <c r="C1" s="1"/>
      <c r="D1" s="1"/>
      <c r="E1" s="1"/>
      <c r="F1" s="1"/>
      <c r="G1" s="1"/>
      <c r="H1" s="1"/>
      <c r="I1" s="1"/>
    </row>
    <row r="2" customFormat="false" ht="18" hidden="false" customHeight="true" outlineLevel="0" collapsed="false">
      <c r="A2" s="2" t="s">
        <v>111</v>
      </c>
      <c r="B2" s="2"/>
      <c r="C2" s="2"/>
      <c r="D2" s="2"/>
      <c r="E2" s="2"/>
      <c r="F2" s="2"/>
      <c r="G2" s="2"/>
      <c r="H2" s="2"/>
      <c r="I2" s="2"/>
    </row>
    <row r="4" customFormat="false" ht="27.75" hidden="false" customHeight="true" outlineLevel="0" collapsed="false">
      <c r="A4" s="8" t="s">
        <v>93</v>
      </c>
      <c r="B4" s="8" t="s">
        <v>41</v>
      </c>
      <c r="C4" s="8" t="s">
        <v>42</v>
      </c>
      <c r="D4" s="8" t="s">
        <v>43</v>
      </c>
      <c r="E4" s="8" t="s">
        <v>40</v>
      </c>
      <c r="F4" s="8" t="s">
        <v>46</v>
      </c>
      <c r="G4" s="8" t="s">
        <v>47</v>
      </c>
      <c r="H4" s="8" t="s">
        <v>48</v>
      </c>
      <c r="I4" s="8" t="s">
        <v>112</v>
      </c>
    </row>
    <row r="5" customFormat="false" ht="15" hidden="false" customHeight="false" outlineLevel="0" collapsed="false">
      <c r="A5" s="9" t="s">
        <v>97</v>
      </c>
      <c r="B5" s="11" t="n">
        <v>160000</v>
      </c>
      <c r="C5" s="11" t="n">
        <v>1000</v>
      </c>
      <c r="D5" s="12" t="n">
        <f aca="false">IF(OR(B5="",B5=0),"",C5/B5)</f>
        <v>0.00625</v>
      </c>
      <c r="E5" s="10" t="n">
        <v>3700</v>
      </c>
      <c r="F5" s="11" t="n">
        <v>47</v>
      </c>
      <c r="G5" s="13" t="n">
        <f aca="false">IF(OR(F5="",F5=0),"",E5/F5)</f>
        <v>78.7234042553192</v>
      </c>
      <c r="H5" s="12" t="n">
        <f aca="false">IF(OR(C5="",C5=0),"",F5/C5)</f>
        <v>0.047</v>
      </c>
      <c r="I5" s="33" t="n">
        <f aca="false">IF(SUM($E$5:$E$8)=0,"",E5/SUM($E$5:$E$8))</f>
        <v>0.377551020408163</v>
      </c>
    </row>
    <row r="6" customFormat="false" ht="15" hidden="false" customHeight="false" outlineLevel="0" collapsed="false">
      <c r="A6" s="9" t="s">
        <v>100</v>
      </c>
      <c r="B6" s="11" t="n">
        <v>110000</v>
      </c>
      <c r="C6" s="11" t="n">
        <v>700</v>
      </c>
      <c r="D6" s="12" t="n">
        <f aca="false">IF(OR(B6="",B6=0),"",C6/B6)</f>
        <v>0.00636363636363636</v>
      </c>
      <c r="E6" s="10" t="n">
        <v>2100</v>
      </c>
      <c r="F6" s="11" t="n">
        <v>12</v>
      </c>
      <c r="G6" s="13" t="n">
        <f aca="false">IF(OR(F6="",F6=0),"",E6/F6)</f>
        <v>175</v>
      </c>
      <c r="H6" s="12" t="n">
        <f aca="false">IF(OR(C6="",C6=0),"",F6/C6)</f>
        <v>0.0171428571428571</v>
      </c>
      <c r="I6" s="33" t="n">
        <f aca="false">IF(SUM($E$5:$E$8)=0,"",E6/SUM($E$5:$E$8))</f>
        <v>0.214285714285714</v>
      </c>
    </row>
    <row r="7" customFormat="false" ht="15" hidden="false" customHeight="false" outlineLevel="0" collapsed="false">
      <c r="A7" s="9" t="s">
        <v>108</v>
      </c>
      <c r="B7" s="11" t="n">
        <v>70000</v>
      </c>
      <c r="C7" s="11" t="n">
        <v>480</v>
      </c>
      <c r="D7" s="12" t="n">
        <f aca="false">IF(OR(B7="",B7=0),"",C7/B7)</f>
        <v>0.00685714285714286</v>
      </c>
      <c r="E7" s="10" t="n">
        <v>1300</v>
      </c>
      <c r="F7" s="11" t="n">
        <v>19</v>
      </c>
      <c r="G7" s="13" t="n">
        <f aca="false">IF(OR(F7="",F7=0),"",E7/F7)</f>
        <v>68.421052631579</v>
      </c>
      <c r="H7" s="12" t="n">
        <f aca="false">IF(OR(C7="",C7=0),"",F7/C7)</f>
        <v>0.0395833333333333</v>
      </c>
      <c r="I7" s="33" t="n">
        <f aca="false">IF(SUM($E$5:$E$8)=0,"",E7/SUM($E$5:$E$8))</f>
        <v>0.13265306122449</v>
      </c>
    </row>
    <row r="8" customFormat="false" ht="15" hidden="false" customHeight="false" outlineLevel="0" collapsed="false">
      <c r="A8" s="9" t="s">
        <v>103</v>
      </c>
      <c r="B8" s="11" t="n">
        <v>320000</v>
      </c>
      <c r="C8" s="11" t="n">
        <v>900</v>
      </c>
      <c r="D8" s="12" t="n">
        <f aca="false">IF(OR(B8="",B8=0),"",C8/B8)</f>
        <v>0.0028125</v>
      </c>
      <c r="E8" s="10" t="n">
        <v>2700</v>
      </c>
      <c r="F8" s="11" t="n">
        <v>4</v>
      </c>
      <c r="G8" s="13" t="n">
        <f aca="false">IF(OR(F8="",F8=0),"",E8/F8)</f>
        <v>675</v>
      </c>
      <c r="H8" s="12" t="n">
        <f aca="false">IF(OR(C8="",C8=0),"",F8/C8)</f>
        <v>0.00444444444444444</v>
      </c>
      <c r="I8" s="33" t="n">
        <f aca="false">IF(SUM($E$5:$E$8)=0,"",E8/SUM($E$5:$E$8))</f>
        <v>0.275510204081633</v>
      </c>
    </row>
    <row r="10" customFormat="false" ht="45.75" hidden="false" customHeight="true" outlineLevel="0" collapsed="false">
      <c r="A10" s="15" t="s">
        <v>113</v>
      </c>
      <c r="B10" s="15"/>
      <c r="C10" s="15"/>
      <c r="D10" s="15"/>
      <c r="E10" s="15"/>
      <c r="F10" s="15"/>
      <c r="G10" s="15"/>
      <c r="H10" s="15"/>
      <c r="I10" s="15"/>
    </row>
    <row r="11" customFormat="false" ht="15" hidden="false" customHeight="false" outlineLevel="0" collapsed="false">
      <c r="A11" s="15"/>
      <c r="B11" s="15"/>
      <c r="C11" s="15"/>
      <c r="D11" s="15"/>
      <c r="E11" s="15"/>
      <c r="F11" s="15"/>
      <c r="G11" s="15"/>
      <c r="H11" s="15"/>
      <c r="I11" s="15"/>
    </row>
    <row r="12" customFormat="false" ht="15" hidden="false" customHeight="false" outlineLevel="0" collapsed="false">
      <c r="A12" s="15"/>
      <c r="B12" s="15"/>
      <c r="C12" s="15"/>
      <c r="D12" s="15"/>
      <c r="E12" s="15"/>
      <c r="F12" s="15"/>
      <c r="G12" s="15"/>
      <c r="H12" s="15"/>
      <c r="I12" s="15"/>
    </row>
  </sheetData>
  <autoFilter ref="A4:I8"/>
  <mergeCells count="3">
    <mergeCell ref="A1:I1"/>
    <mergeCell ref="A2:I2"/>
    <mergeCell ref="A10:I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I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2"/>
    <col collapsed="false" customWidth="true" hidden="false" outlineLevel="0" max="3" min="3" style="0" width="9"/>
    <col collapsed="false" customWidth="true" hidden="false" outlineLevel="0" max="4" min="4" style="0" width="8"/>
    <col collapsed="false" customWidth="true" hidden="false" outlineLevel="0" max="5" min="5" style="0" width="11"/>
    <col collapsed="false" customWidth="true" hidden="false" outlineLevel="0" max="6" min="6" style="0" width="8"/>
    <col collapsed="false" customWidth="true" hidden="false" outlineLevel="0" max="7" min="7" style="0" width="12"/>
    <col collapsed="false" customWidth="true" hidden="false" outlineLevel="0" max="8" min="8" style="0" width="15"/>
    <col collapsed="false" customWidth="true" hidden="false" outlineLevel="0" max="9" min="9" style="0" width="13"/>
  </cols>
  <sheetData>
    <row r="1" customFormat="false" ht="30" hidden="false" customHeight="true" outlineLevel="0" collapsed="false">
      <c r="A1" s="1" t="s">
        <v>114</v>
      </c>
      <c r="B1" s="1"/>
      <c r="C1" s="1"/>
      <c r="D1" s="1"/>
      <c r="E1" s="1"/>
      <c r="F1" s="1"/>
      <c r="G1" s="1"/>
      <c r="H1" s="1"/>
      <c r="I1" s="1"/>
    </row>
    <row r="2" customFormat="false" ht="18" hidden="false" customHeight="true" outlineLevel="0" collapsed="false">
      <c r="A2" s="2" t="s">
        <v>115</v>
      </c>
      <c r="B2" s="2"/>
      <c r="C2" s="2"/>
      <c r="D2" s="2"/>
      <c r="E2" s="2"/>
      <c r="F2" s="2"/>
      <c r="G2" s="2"/>
      <c r="H2" s="2"/>
      <c r="I2" s="2"/>
    </row>
    <row r="4" customFormat="false" ht="27.75" hidden="false" customHeight="true" outlineLevel="0" collapsed="false">
      <c r="A4" s="8" t="s">
        <v>94</v>
      </c>
      <c r="B4" s="8" t="s">
        <v>41</v>
      </c>
      <c r="C4" s="8" t="s">
        <v>42</v>
      </c>
      <c r="D4" s="8" t="s">
        <v>43</v>
      </c>
      <c r="E4" s="8" t="s">
        <v>40</v>
      </c>
      <c r="F4" s="8" t="s">
        <v>46</v>
      </c>
      <c r="G4" s="8" t="s">
        <v>47</v>
      </c>
      <c r="H4" s="8" t="s">
        <v>49</v>
      </c>
      <c r="I4" s="8" t="s">
        <v>112</v>
      </c>
    </row>
    <row r="5" customFormat="false" ht="15" hidden="false" customHeight="false" outlineLevel="0" collapsed="false">
      <c r="A5" s="9" t="s">
        <v>98</v>
      </c>
      <c r="B5" s="11" t="n">
        <v>160000</v>
      </c>
      <c r="C5" s="11" t="n">
        <v>1000</v>
      </c>
      <c r="D5" s="12" t="n">
        <f aca="false">IF(OR(B5="",B5=0),"",C5/B5)</f>
        <v>0.00625</v>
      </c>
      <c r="E5" s="10" t="n">
        <v>3700</v>
      </c>
      <c r="F5" s="11" t="n">
        <v>47</v>
      </c>
      <c r="G5" s="13" t="n">
        <f aca="false">IF(OR(F5="",F5=0),"",E5/F5)</f>
        <v>78.7234042553192</v>
      </c>
      <c r="H5" s="14" t="n">
        <v>0.023</v>
      </c>
      <c r="I5" s="33" t="n">
        <f aca="false">IF(SUM($E$5:$E$9)=0,"",E5/SUM($E$5:$E$9))</f>
        <v>0.397849462365591</v>
      </c>
    </row>
    <row r="6" customFormat="false" ht="15" hidden="false" customHeight="false" outlineLevel="0" collapsed="false">
      <c r="A6" s="9" t="s">
        <v>101</v>
      </c>
      <c r="B6" s="11" t="n">
        <v>110000</v>
      </c>
      <c r="C6" s="11" t="n">
        <v>700</v>
      </c>
      <c r="D6" s="12" t="n">
        <f aca="false">IF(OR(B6="",B6=0),"",C6/B6)</f>
        <v>0.00636363636363636</v>
      </c>
      <c r="E6" s="10" t="n">
        <v>2100</v>
      </c>
      <c r="F6" s="11" t="n">
        <v>12</v>
      </c>
      <c r="G6" s="13" t="n">
        <f aca="false">IF(OR(F6="",F6=0),"",E6/F6)</f>
        <v>175</v>
      </c>
      <c r="H6" s="14" t="n">
        <v>0.018</v>
      </c>
      <c r="I6" s="33" t="n">
        <f aca="false">IF(SUM($E$5:$E$9)=0,"",E6/SUM($E$5:$E$9))</f>
        <v>0.225806451612903</v>
      </c>
    </row>
    <row r="7" customFormat="false" ht="15" hidden="false" customHeight="false" outlineLevel="0" collapsed="false">
      <c r="A7" s="9" t="s">
        <v>104</v>
      </c>
      <c r="B7" s="11" t="n">
        <v>140000</v>
      </c>
      <c r="C7" s="11" t="n">
        <v>600</v>
      </c>
      <c r="D7" s="12" t="n">
        <f aca="false">IF(OR(B7="",B7=0),"",C7/B7)</f>
        <v>0.00428571428571429</v>
      </c>
      <c r="E7" s="10" t="n">
        <v>1500</v>
      </c>
      <c r="F7" s="11" t="n">
        <v>4</v>
      </c>
      <c r="G7" s="13" t="n">
        <f aca="false">IF(OR(F7="",F7=0),"",E7/F7)</f>
        <v>375</v>
      </c>
      <c r="H7" s="14" t="n">
        <v>0.03</v>
      </c>
      <c r="I7" s="33" t="n">
        <f aca="false">IF(SUM($E$5:$E$9)=0,"",E7/SUM($E$5:$E$9))</f>
        <v>0.161290322580645</v>
      </c>
    </row>
    <row r="8" customFormat="false" ht="15" hidden="false" customHeight="false" outlineLevel="0" collapsed="false">
      <c r="A8" s="9" t="s">
        <v>106</v>
      </c>
      <c r="B8" s="11" t="n">
        <v>180000</v>
      </c>
      <c r="C8" s="11" t="n">
        <v>300</v>
      </c>
      <c r="D8" s="12" t="n">
        <f aca="false">IF(OR(B8="",B8=0),"",C8/B8)</f>
        <v>0.00166666666666667</v>
      </c>
      <c r="E8" s="10" t="n">
        <v>1200</v>
      </c>
      <c r="F8" s="11" t="n">
        <v>0</v>
      </c>
      <c r="G8" s="13" t="str">
        <f aca="false">IF(OR(F8="",F8=0),"",E8/F8)</f>
        <v/>
      </c>
      <c r="H8" s="14" t="n">
        <v>0.015</v>
      </c>
      <c r="I8" s="33" t="n">
        <f aca="false">IF(SUM($E$5:$E$9)=0,"",E8/SUM($E$5:$E$9))</f>
        <v>0.129032258064516</v>
      </c>
    </row>
    <row r="9" customFormat="false" ht="15" hidden="false" customHeight="false" outlineLevel="0" collapsed="false">
      <c r="A9" s="9" t="s">
        <v>116</v>
      </c>
      <c r="B9" s="11" t="n">
        <v>90000</v>
      </c>
      <c r="C9" s="11" t="n">
        <v>150</v>
      </c>
      <c r="D9" s="12" t="n">
        <f aca="false">IF(OR(B9="",B9=0),"",C9/B9)</f>
        <v>0.00166666666666667</v>
      </c>
      <c r="E9" s="10" t="n">
        <v>800</v>
      </c>
      <c r="F9" s="11" t="n">
        <v>0</v>
      </c>
      <c r="G9" s="13" t="str">
        <f aca="false">IF(OR(F9="",F9=0),"",E9/F9)</f>
        <v/>
      </c>
      <c r="H9" s="14" t="n">
        <v>0.008</v>
      </c>
      <c r="I9" s="33" t="n">
        <f aca="false">IF(SUM($E$5:$E$9)=0,"",E9/SUM($E$5:$E$9))</f>
        <v>0.0860215053763441</v>
      </c>
    </row>
    <row r="11" customFormat="false" ht="45.75" hidden="false" customHeight="true" outlineLevel="0" collapsed="false">
      <c r="A11" s="15" t="s">
        <v>117</v>
      </c>
      <c r="B11" s="15"/>
      <c r="C11" s="15"/>
      <c r="D11" s="15"/>
      <c r="E11" s="15"/>
      <c r="F11" s="15"/>
      <c r="G11" s="15"/>
      <c r="H11" s="15"/>
      <c r="I11" s="15"/>
    </row>
    <row r="12" customFormat="false" ht="15" hidden="false" customHeight="false" outlineLevel="0" collapsed="false">
      <c r="A12" s="15"/>
      <c r="B12" s="15"/>
      <c r="C12" s="15"/>
      <c r="D12" s="15"/>
      <c r="E12" s="15"/>
      <c r="F12" s="15"/>
      <c r="G12" s="15"/>
      <c r="H12" s="15"/>
      <c r="I12" s="15"/>
    </row>
    <row r="13" customFormat="false" ht="15" hidden="false" customHeight="false" outlineLevel="0" collapsed="false">
      <c r="A13" s="15"/>
      <c r="B13" s="15"/>
      <c r="C13" s="15"/>
      <c r="D13" s="15"/>
      <c r="E13" s="15"/>
      <c r="F13" s="15"/>
      <c r="G13" s="15"/>
      <c r="H13" s="15"/>
      <c r="I13" s="15"/>
    </row>
  </sheetData>
  <autoFilter ref="A4:I9"/>
  <mergeCells count="3">
    <mergeCell ref="A1:I1"/>
    <mergeCell ref="A2:I2"/>
    <mergeCell ref="A11:I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I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
    <col collapsed="false" customWidth="true" hidden="false" outlineLevel="0" max="4" min="3" style="0" width="10"/>
    <col collapsed="false" customWidth="true" hidden="false" outlineLevel="0" max="6" min="5" style="0" width="9"/>
    <col collapsed="false" customWidth="true" hidden="false" outlineLevel="0" max="7" min="7" style="0" width="12"/>
    <col collapsed="false" customWidth="true" hidden="false" outlineLevel="0" max="8" min="8" style="0" width="16"/>
    <col collapsed="false" customWidth="true" hidden="false" outlineLevel="0" max="9" min="9" style="0" width="15"/>
  </cols>
  <sheetData>
    <row r="1" customFormat="false" ht="30" hidden="false" customHeight="true" outlineLevel="0" collapsed="false">
      <c r="A1" s="1" t="s">
        <v>104</v>
      </c>
      <c r="B1" s="1"/>
      <c r="C1" s="1"/>
      <c r="D1" s="1"/>
      <c r="E1" s="1"/>
      <c r="F1" s="1"/>
      <c r="G1" s="1"/>
      <c r="H1" s="1"/>
      <c r="I1" s="1"/>
    </row>
    <row r="2" customFormat="false" ht="18" hidden="false" customHeight="true" outlineLevel="0" collapsed="false">
      <c r="A2" s="2" t="s">
        <v>118</v>
      </c>
      <c r="B2" s="2"/>
      <c r="C2" s="2"/>
      <c r="D2" s="2"/>
      <c r="E2" s="2"/>
      <c r="F2" s="2"/>
      <c r="G2" s="2"/>
      <c r="H2" s="2"/>
      <c r="I2" s="2"/>
    </row>
    <row r="4" customFormat="false" ht="27.75" hidden="false" customHeight="true" outlineLevel="0" collapsed="false">
      <c r="A4" s="8" t="s">
        <v>92</v>
      </c>
      <c r="B4" s="8" t="s">
        <v>41</v>
      </c>
      <c r="C4" s="8" t="s">
        <v>119</v>
      </c>
      <c r="D4" s="8" t="s">
        <v>120</v>
      </c>
      <c r="E4" s="8" t="s">
        <v>121</v>
      </c>
      <c r="F4" s="8" t="s">
        <v>122</v>
      </c>
      <c r="G4" s="8" t="s">
        <v>106</v>
      </c>
      <c r="H4" s="8" t="s">
        <v>123</v>
      </c>
      <c r="I4" s="8" t="s">
        <v>49</v>
      </c>
    </row>
    <row r="5" customFormat="false" ht="23.85" hidden="false" customHeight="false" outlineLevel="0" collapsed="false">
      <c r="A5" s="9" t="s">
        <v>102</v>
      </c>
      <c r="B5" s="11" t="n">
        <v>140000</v>
      </c>
      <c r="C5" s="11" t="n">
        <v>2100</v>
      </c>
      <c r="D5" s="11" t="n">
        <v>180</v>
      </c>
      <c r="E5" s="11" t="n">
        <v>260</v>
      </c>
      <c r="F5" s="11" t="n">
        <v>90</v>
      </c>
      <c r="G5" s="11" t="n">
        <v>0</v>
      </c>
      <c r="H5" s="11" t="n">
        <v>2630</v>
      </c>
      <c r="I5" s="12" t="n">
        <f aca="false">IF(OR(B5="",B5=0),"",H5/B5)</f>
        <v>0.0187857142857143</v>
      </c>
    </row>
    <row r="6" customFormat="false" ht="15" hidden="false" customHeight="false" outlineLevel="0" collapsed="false">
      <c r="A6" s="9" t="s">
        <v>105</v>
      </c>
      <c r="B6" s="11" t="n">
        <v>180000</v>
      </c>
      <c r="C6" s="11" t="n">
        <v>900</v>
      </c>
      <c r="D6" s="11" t="n">
        <v>40</v>
      </c>
      <c r="E6" s="11" t="n">
        <v>120</v>
      </c>
      <c r="F6" s="11" t="n">
        <v>30</v>
      </c>
      <c r="G6" s="11" t="n">
        <v>42000</v>
      </c>
      <c r="H6" s="11" t="n">
        <v>1090</v>
      </c>
      <c r="I6" s="12" t="n">
        <f aca="false">IF(OR(B6="",B6=0),"",H6/B6)</f>
        <v>0.00605555555555556</v>
      </c>
    </row>
    <row r="7" customFormat="false" ht="15" hidden="false" customHeight="false" outlineLevel="0" collapsed="false">
      <c r="A7" s="9" t="s">
        <v>96</v>
      </c>
      <c r="B7" s="11" t="n">
        <v>90000</v>
      </c>
      <c r="C7" s="11" t="n">
        <v>300</v>
      </c>
      <c r="D7" s="11" t="n">
        <v>20</v>
      </c>
      <c r="E7" s="11" t="n">
        <v>30</v>
      </c>
      <c r="F7" s="11" t="n">
        <v>15</v>
      </c>
      <c r="G7" s="11" t="n">
        <v>0</v>
      </c>
      <c r="H7" s="11" t="n">
        <v>365</v>
      </c>
      <c r="I7" s="12" t="n">
        <f aca="false">IF(OR(B7="",B7=0),"",H7/B7)</f>
        <v>0.00405555555555556</v>
      </c>
    </row>
    <row r="8" customFormat="false" ht="15" hidden="false" customHeight="false" outlineLevel="0" collapsed="false">
      <c r="A8" s="9" t="s">
        <v>99</v>
      </c>
      <c r="B8" s="11" t="n">
        <v>110000</v>
      </c>
      <c r="C8" s="11" t="n">
        <v>250</v>
      </c>
      <c r="D8" s="11" t="n">
        <v>10</v>
      </c>
      <c r="E8" s="11" t="n">
        <v>25</v>
      </c>
      <c r="F8" s="11" t="n">
        <v>8</v>
      </c>
      <c r="G8" s="11" t="n">
        <v>0</v>
      </c>
      <c r="H8" s="11" t="n">
        <v>293</v>
      </c>
      <c r="I8" s="12" t="n">
        <f aca="false">IF(OR(B8="",B8=0),"",H8/B8)</f>
        <v>0.00266363636363636</v>
      </c>
    </row>
    <row r="10" customFormat="false" ht="45.75" hidden="false" customHeight="true" outlineLevel="0" collapsed="false">
      <c r="A10" s="15" t="s">
        <v>124</v>
      </c>
      <c r="B10" s="15"/>
      <c r="C10" s="15"/>
      <c r="D10" s="15"/>
      <c r="E10" s="15"/>
      <c r="F10" s="15"/>
      <c r="G10" s="15"/>
      <c r="H10" s="15"/>
      <c r="I10" s="15"/>
    </row>
    <row r="11" customFormat="false" ht="15" hidden="false" customHeight="false" outlineLevel="0" collapsed="false">
      <c r="A11" s="15"/>
      <c r="B11" s="15"/>
      <c r="C11" s="15"/>
      <c r="D11" s="15"/>
      <c r="E11" s="15"/>
      <c r="F11" s="15"/>
      <c r="G11" s="15"/>
      <c r="H11" s="15"/>
      <c r="I11" s="15"/>
    </row>
    <row r="12" customFormat="false" ht="15" hidden="false" customHeight="false" outlineLevel="0" collapsed="false">
      <c r="A12" s="15"/>
      <c r="B12" s="15"/>
      <c r="C12" s="15"/>
      <c r="D12" s="15"/>
      <c r="E12" s="15"/>
      <c r="F12" s="15"/>
      <c r="G12" s="15"/>
      <c r="H12" s="15"/>
      <c r="I12" s="15"/>
    </row>
  </sheetData>
  <autoFilter ref="A4:I8"/>
  <mergeCells count="3">
    <mergeCell ref="A1:I1"/>
    <mergeCell ref="A2:I2"/>
    <mergeCell ref="A10:I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I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13"/>
    <col collapsed="false" customWidth="true" hidden="false" outlineLevel="0" max="4" min="4" style="0" width="12"/>
    <col collapsed="false" customWidth="true" hidden="false" outlineLevel="0" max="5" min="5" style="0" width="13"/>
    <col collapsed="false" customWidth="true" hidden="false" outlineLevel="0" max="6" min="6" style="0" width="15"/>
    <col collapsed="false" customWidth="true" hidden="false" outlineLevel="0" max="7" min="7" style="0" width="17"/>
    <col collapsed="false" customWidth="true" hidden="false" outlineLevel="0" max="8" min="8" style="0" width="13"/>
    <col collapsed="false" customWidth="true" hidden="false" outlineLevel="0" max="9" min="9" style="0" width="10"/>
  </cols>
  <sheetData>
    <row r="1" customFormat="false" ht="30" hidden="false" customHeight="true" outlineLevel="0" collapsed="false">
      <c r="A1" s="1" t="s">
        <v>125</v>
      </c>
      <c r="B1" s="1"/>
      <c r="C1" s="1"/>
      <c r="D1" s="1"/>
      <c r="E1" s="1"/>
      <c r="F1" s="1"/>
      <c r="G1" s="1"/>
      <c r="H1" s="1"/>
      <c r="I1" s="1"/>
    </row>
    <row r="2" customFormat="false" ht="18" hidden="false" customHeight="true" outlineLevel="0" collapsed="false">
      <c r="A2" s="2" t="s">
        <v>126</v>
      </c>
      <c r="B2" s="2"/>
      <c r="C2" s="2"/>
      <c r="D2" s="2"/>
      <c r="E2" s="2"/>
      <c r="F2" s="2"/>
      <c r="G2" s="2"/>
      <c r="H2" s="2"/>
      <c r="I2" s="2"/>
    </row>
    <row r="4" customFormat="false" ht="27.75" hidden="false" customHeight="true" outlineLevel="0" collapsed="false">
      <c r="A4" s="8" t="s">
        <v>127</v>
      </c>
      <c r="B4" s="8" t="s">
        <v>128</v>
      </c>
      <c r="C4" s="8" t="s">
        <v>129</v>
      </c>
      <c r="D4" s="8" t="s">
        <v>130</v>
      </c>
      <c r="E4" s="8" t="s">
        <v>131</v>
      </c>
      <c r="F4" s="8" t="s">
        <v>132</v>
      </c>
      <c r="G4" s="8" t="s">
        <v>133</v>
      </c>
      <c r="H4" s="8" t="s">
        <v>134</v>
      </c>
      <c r="I4" s="8" t="s">
        <v>135</v>
      </c>
    </row>
    <row r="5" customFormat="false" ht="15" hidden="false" customHeight="false" outlineLevel="0" collapsed="false">
      <c r="A5" s="9" t="s">
        <v>136</v>
      </c>
      <c r="B5" s="10" t="n">
        <v>9000</v>
      </c>
      <c r="C5" s="34" t="n">
        <v>30</v>
      </c>
      <c r="D5" s="34" t="n">
        <v>12</v>
      </c>
      <c r="E5" s="10" t="n">
        <v>3700</v>
      </c>
      <c r="F5" s="35" t="n">
        <f aca="false">IF(OR(B5="",C5="",C5=0),"",B5*D5/C5)</f>
        <v>3600</v>
      </c>
      <c r="G5" s="35" t="n">
        <f aca="false">IF(OR(E5="",D5="",D5=0,C5=""),"",E5/D5*C5)</f>
        <v>9250</v>
      </c>
      <c r="H5" s="36" t="n">
        <f aca="false">IF(OR(G5="",B5="",B5=0),"",G5/B5)</f>
        <v>1.02777777777778</v>
      </c>
      <c r="I5" s="31" t="str">
        <f aca="false">IF(H5="","",IF(H5&gt;1.1,"Over",IF(H5&lt;0.9,"Under","On track")))</f>
        <v>On track</v>
      </c>
    </row>
    <row r="6" customFormat="false" ht="15" hidden="false" customHeight="false" outlineLevel="0" collapsed="false">
      <c r="A6" s="9" t="s">
        <v>96</v>
      </c>
      <c r="B6" s="10" t="n">
        <v>2400</v>
      </c>
      <c r="C6" s="34" t="n">
        <v>30</v>
      </c>
      <c r="D6" s="34" t="n">
        <v>12</v>
      </c>
      <c r="E6" s="10" t="n">
        <v>1000</v>
      </c>
      <c r="F6" s="35" t="n">
        <f aca="false">IF(OR(B6="",C6="",C6=0),"",B6*D6/C6)</f>
        <v>960</v>
      </c>
      <c r="G6" s="35" t="n">
        <f aca="false">IF(OR(E6="",D6="",D6=0,C6=""),"",E6/D6*C6)</f>
        <v>2500</v>
      </c>
      <c r="H6" s="36" t="n">
        <f aca="false">IF(OR(G6="",B6="",B6=0),"",G6/B6)</f>
        <v>1.04166666666667</v>
      </c>
      <c r="I6" s="31" t="str">
        <f aca="false">IF(H6="","",IF(H6&gt;1.1,"Over",IF(H6&lt;0.9,"Under","On track")))</f>
        <v>On track</v>
      </c>
    </row>
    <row r="7" customFormat="false" ht="15" hidden="false" customHeight="false" outlineLevel="0" collapsed="false">
      <c r="A7" s="9" t="s">
        <v>99</v>
      </c>
      <c r="B7" s="10" t="n">
        <v>2100</v>
      </c>
      <c r="C7" s="34" t="n">
        <v>30</v>
      </c>
      <c r="D7" s="34" t="n">
        <v>12</v>
      </c>
      <c r="E7" s="10" t="n">
        <v>820</v>
      </c>
      <c r="F7" s="35" t="n">
        <f aca="false">IF(OR(B7="",C7="",C7=0),"",B7*D7/C7)</f>
        <v>840</v>
      </c>
      <c r="G7" s="35" t="n">
        <f aca="false">IF(OR(E7="",D7="",D7=0,C7=""),"",E7/D7*C7)</f>
        <v>2050</v>
      </c>
      <c r="H7" s="36" t="n">
        <f aca="false">IF(OR(G7="",B7="",B7=0),"",G7/B7)</f>
        <v>0.976190476190476</v>
      </c>
      <c r="I7" s="31" t="str">
        <f aca="false">IF(H7="","",IF(H7&gt;1.1,"Over",IF(H7&lt;0.9,"Under","On track")))</f>
        <v>On track</v>
      </c>
    </row>
    <row r="8" customFormat="false" ht="15" hidden="false" customHeight="false" outlineLevel="0" collapsed="false">
      <c r="A8" s="9" t="s">
        <v>103</v>
      </c>
      <c r="B8" s="10" t="n">
        <v>2700</v>
      </c>
      <c r="C8" s="34" t="n">
        <v>30</v>
      </c>
      <c r="D8" s="34" t="n">
        <v>12</v>
      </c>
      <c r="E8" s="10" t="n">
        <v>1100</v>
      </c>
      <c r="F8" s="35" t="n">
        <f aca="false">IF(OR(B8="",C8="",C8=0),"",B8*D8/C8)</f>
        <v>1080</v>
      </c>
      <c r="G8" s="35" t="n">
        <f aca="false">IF(OR(E8="",D8="",D8=0,C8=""),"",E8/D8*C8)</f>
        <v>2750</v>
      </c>
      <c r="H8" s="36" t="n">
        <f aca="false">IF(OR(G8="",B8="",B8=0),"",G8/B8)</f>
        <v>1.01851851851852</v>
      </c>
      <c r="I8" s="31" t="str">
        <f aca="false">IF(H8="","",IF(H8&gt;1.1,"Over",IF(H8&lt;0.9,"Under","On track")))</f>
        <v>On track</v>
      </c>
    </row>
    <row r="10" customFormat="false" ht="45.75" hidden="false" customHeight="true" outlineLevel="0" collapsed="false">
      <c r="A10" s="15" t="s">
        <v>137</v>
      </c>
      <c r="B10" s="15"/>
      <c r="C10" s="15"/>
      <c r="D10" s="15"/>
      <c r="E10" s="15"/>
      <c r="F10" s="15"/>
      <c r="G10" s="15"/>
      <c r="H10" s="15"/>
      <c r="I10" s="15"/>
    </row>
    <row r="11" customFormat="false" ht="15" hidden="false" customHeight="false" outlineLevel="0" collapsed="false">
      <c r="A11" s="15"/>
      <c r="B11" s="15"/>
      <c r="C11" s="15"/>
      <c r="D11" s="15"/>
      <c r="E11" s="15"/>
      <c r="F11" s="15"/>
      <c r="G11" s="15"/>
      <c r="H11" s="15"/>
      <c r="I11" s="15"/>
    </row>
    <row r="12" customFormat="false" ht="15" hidden="false" customHeight="false" outlineLevel="0" collapsed="false">
      <c r="A12" s="15"/>
      <c r="B12" s="15"/>
      <c r="C12" s="15"/>
      <c r="D12" s="15"/>
      <c r="E12" s="15"/>
      <c r="F12" s="15"/>
      <c r="G12" s="15"/>
      <c r="H12" s="15"/>
      <c r="I12" s="15"/>
    </row>
  </sheetData>
  <mergeCells count="3">
    <mergeCell ref="A1:I1"/>
    <mergeCell ref="A2:I2"/>
    <mergeCell ref="A10:I12"/>
  </mergeCells>
  <conditionalFormatting sqref="I5:I8">
    <cfRule type="cellIs" priority="2" operator="equal" aboveAverage="0" equalAverage="0" bottom="0" percent="0" rank="0" text="" dxfId="10">
      <formula>"Over"</formula>
    </cfRule>
    <cfRule type="cellIs" priority="3" operator="equal" aboveAverage="0" equalAverage="0" bottom="0" percent="0" rank="0" text="" dxfId="11">
      <formula>"Under"</formula>
    </cfRule>
    <cfRule type="cellIs" priority="4" operator="equal" aboveAverage="0" equalAverage="0" bottom="0" percent="0" rank="0" text="" dxfId="12">
      <formula>"On track"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E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34"/>
    <col collapsed="false" customWidth="true" hidden="false" outlineLevel="0" max="4" min="4" style="0" width="24"/>
    <col collapsed="false" customWidth="true" hidden="false" outlineLevel="0" max="5" min="5" style="0" width="48"/>
  </cols>
  <sheetData>
    <row r="1" customFormat="false" ht="30" hidden="false" customHeight="true" outlineLevel="0" collapsed="false">
      <c r="A1" s="1" t="s">
        <v>138</v>
      </c>
      <c r="B1" s="1"/>
      <c r="C1" s="1"/>
      <c r="D1" s="1"/>
      <c r="E1" s="1"/>
    </row>
    <row r="2" customFormat="false" ht="18" hidden="false" customHeight="true" outlineLevel="0" collapsed="false">
      <c r="A2" s="2" t="s">
        <v>139</v>
      </c>
      <c r="B2" s="2"/>
      <c r="C2" s="2"/>
      <c r="D2" s="2"/>
      <c r="E2" s="2"/>
    </row>
    <row r="4" customFormat="false" ht="27.75" hidden="false" customHeight="true" outlineLevel="0" collapsed="false">
      <c r="A4" s="8" t="s">
        <v>140</v>
      </c>
      <c r="B4" s="8" t="s">
        <v>95</v>
      </c>
      <c r="C4" s="8" t="s">
        <v>141</v>
      </c>
      <c r="D4" s="8" t="s">
        <v>142</v>
      </c>
      <c r="E4" s="8" t="s">
        <v>143</v>
      </c>
    </row>
    <row r="5" customFormat="false" ht="39.75" hidden="false" customHeight="true" outlineLevel="0" collapsed="false">
      <c r="A5" s="37" t="s">
        <v>144</v>
      </c>
      <c r="B5" s="19" t="s">
        <v>145</v>
      </c>
      <c r="C5" s="38" t="s">
        <v>146</v>
      </c>
      <c r="D5" s="38" t="s">
        <v>147</v>
      </c>
      <c r="E5" s="38" t="s">
        <v>148</v>
      </c>
    </row>
    <row r="6" customFormat="false" ht="39.75" hidden="false" customHeight="true" outlineLevel="0" collapsed="false">
      <c r="A6" s="37" t="s">
        <v>144</v>
      </c>
      <c r="B6" s="19" t="s">
        <v>149</v>
      </c>
      <c r="C6" s="38" t="s">
        <v>150</v>
      </c>
      <c r="D6" s="38" t="s">
        <v>151</v>
      </c>
      <c r="E6" s="38" t="s">
        <v>152</v>
      </c>
    </row>
    <row r="7" customFormat="false" ht="39.75" hidden="false" customHeight="true" outlineLevel="0" collapsed="false">
      <c r="A7" s="39" t="s">
        <v>153</v>
      </c>
      <c r="B7" s="19" t="s">
        <v>154</v>
      </c>
      <c r="C7" s="38" t="s">
        <v>155</v>
      </c>
      <c r="D7" s="38" t="s">
        <v>156</v>
      </c>
      <c r="E7" s="38" t="s">
        <v>157</v>
      </c>
    </row>
    <row r="8" customFormat="false" ht="39.75" hidden="false" customHeight="true" outlineLevel="0" collapsed="false">
      <c r="A8" s="39" t="s">
        <v>153</v>
      </c>
      <c r="B8" s="19" t="s">
        <v>158</v>
      </c>
      <c r="C8" s="38" t="s">
        <v>159</v>
      </c>
      <c r="D8" s="38" t="s">
        <v>160</v>
      </c>
      <c r="E8" s="38" t="s">
        <v>161</v>
      </c>
    </row>
    <row r="9" customFormat="false" ht="39.75" hidden="false" customHeight="true" outlineLevel="0" collapsed="false">
      <c r="A9" s="39" t="s">
        <v>153</v>
      </c>
      <c r="B9" s="19" t="s">
        <v>162</v>
      </c>
      <c r="C9" s="38" t="s">
        <v>163</v>
      </c>
      <c r="D9" s="38" t="s">
        <v>164</v>
      </c>
      <c r="E9" s="38" t="s">
        <v>165</v>
      </c>
    </row>
    <row r="10" customFormat="false" ht="39.75" hidden="false" customHeight="true" outlineLevel="0" collapsed="false">
      <c r="A10" s="40" t="s">
        <v>166</v>
      </c>
      <c r="B10" s="19" t="s">
        <v>167</v>
      </c>
      <c r="C10" s="38" t="s">
        <v>168</v>
      </c>
      <c r="D10" s="38" t="s">
        <v>114</v>
      </c>
      <c r="E10" s="38" t="s">
        <v>169</v>
      </c>
    </row>
  </sheetData>
  <autoFilter ref="A4:E10"/>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C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64"/>
    <col collapsed="false" customWidth="true" hidden="false" outlineLevel="0" max="3" min="3" style="0" width="20"/>
  </cols>
  <sheetData>
    <row r="1" customFormat="false" ht="30" hidden="false" customHeight="true" outlineLevel="0" collapsed="false">
      <c r="A1" s="1" t="s">
        <v>170</v>
      </c>
      <c r="B1" s="1"/>
      <c r="C1" s="1"/>
    </row>
    <row r="2" customFormat="false" ht="18" hidden="false" customHeight="true" outlineLevel="0" collapsed="false">
      <c r="A2" s="2" t="s">
        <v>171</v>
      </c>
      <c r="B2" s="2"/>
      <c r="C2" s="2"/>
    </row>
    <row r="4" customFormat="false" ht="27.75" hidden="false" customHeight="true" outlineLevel="0" collapsed="false">
      <c r="A4" s="8" t="s">
        <v>79</v>
      </c>
      <c r="B4" s="8" t="s">
        <v>141</v>
      </c>
      <c r="C4" s="8" t="s">
        <v>172</v>
      </c>
    </row>
    <row r="5" customFormat="false" ht="27.75" hidden="false" customHeight="true" outlineLevel="0" collapsed="false">
      <c r="A5" s="19" t="s">
        <v>40</v>
      </c>
      <c r="B5" s="38" t="s">
        <v>173</v>
      </c>
      <c r="C5" s="41" t="s">
        <v>174</v>
      </c>
    </row>
    <row r="6" customFormat="false" ht="27.75" hidden="false" customHeight="true" outlineLevel="0" collapsed="false">
      <c r="A6" s="19" t="s">
        <v>41</v>
      </c>
      <c r="B6" s="38" t="s">
        <v>175</v>
      </c>
      <c r="C6" s="41" t="s">
        <v>176</v>
      </c>
    </row>
    <row r="7" customFormat="false" ht="27.75" hidden="false" customHeight="true" outlineLevel="0" collapsed="false">
      <c r="A7" s="19" t="s">
        <v>42</v>
      </c>
      <c r="B7" s="38" t="s">
        <v>177</v>
      </c>
      <c r="C7" s="41" t="s">
        <v>178</v>
      </c>
    </row>
    <row r="8" customFormat="false" ht="27.75" hidden="false" customHeight="true" outlineLevel="0" collapsed="false">
      <c r="A8" s="19" t="s">
        <v>43</v>
      </c>
      <c r="B8" s="38" t="s">
        <v>179</v>
      </c>
      <c r="C8" s="41" t="s">
        <v>178</v>
      </c>
    </row>
    <row r="9" customFormat="false" ht="27.75" hidden="false" customHeight="true" outlineLevel="0" collapsed="false">
      <c r="A9" s="19" t="s">
        <v>44</v>
      </c>
      <c r="B9" s="38" t="s">
        <v>180</v>
      </c>
      <c r="C9" s="41" t="s">
        <v>181</v>
      </c>
    </row>
    <row r="10" customFormat="false" ht="27.75" hidden="false" customHeight="true" outlineLevel="0" collapsed="false">
      <c r="A10" s="19" t="s">
        <v>45</v>
      </c>
      <c r="B10" s="38" t="s">
        <v>182</v>
      </c>
      <c r="C10" s="41" t="s">
        <v>181</v>
      </c>
    </row>
    <row r="11" customFormat="false" ht="27.75" hidden="false" customHeight="true" outlineLevel="0" collapsed="false">
      <c r="A11" s="19" t="s">
        <v>46</v>
      </c>
      <c r="B11" s="38" t="s">
        <v>183</v>
      </c>
      <c r="C11" s="41" t="s">
        <v>178</v>
      </c>
    </row>
    <row r="12" customFormat="false" ht="27.75" hidden="false" customHeight="true" outlineLevel="0" collapsed="false">
      <c r="A12" s="19" t="s">
        <v>47</v>
      </c>
      <c r="B12" s="38" t="s">
        <v>184</v>
      </c>
      <c r="C12" s="41" t="s">
        <v>181</v>
      </c>
    </row>
    <row r="13" customFormat="false" ht="27.75" hidden="false" customHeight="true" outlineLevel="0" collapsed="false">
      <c r="A13" s="19" t="s">
        <v>48</v>
      </c>
      <c r="B13" s="38" t="s">
        <v>185</v>
      </c>
      <c r="C13" s="41" t="s">
        <v>178</v>
      </c>
    </row>
    <row r="14" customFormat="false" ht="27.75" hidden="false" customHeight="true" outlineLevel="0" collapsed="false">
      <c r="A14" s="19" t="s">
        <v>49</v>
      </c>
      <c r="B14" s="38" t="s">
        <v>186</v>
      </c>
      <c r="C14" s="41" t="s">
        <v>178</v>
      </c>
    </row>
    <row r="15" customFormat="false" ht="27.75" hidden="false" customHeight="true" outlineLevel="0" collapsed="false">
      <c r="A15" s="19" t="s">
        <v>50</v>
      </c>
      <c r="B15" s="38" t="s">
        <v>187</v>
      </c>
      <c r="C15" s="41" t="s">
        <v>178</v>
      </c>
    </row>
    <row r="16" customFormat="false" ht="27.75" hidden="false" customHeight="true" outlineLevel="0" collapsed="false">
      <c r="A16" s="19" t="s">
        <v>94</v>
      </c>
      <c r="B16" s="38" t="s">
        <v>188</v>
      </c>
      <c r="C16" s="41" t="s">
        <v>189</v>
      </c>
    </row>
    <row r="17" customFormat="false" ht="27.75" hidden="false" customHeight="true" outlineLevel="0" collapsed="false">
      <c r="A17" s="19" t="s">
        <v>134</v>
      </c>
      <c r="B17" s="38" t="s">
        <v>190</v>
      </c>
      <c r="C17" s="41" t="s">
        <v>191</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651"/>
    <pageSetUpPr fitToPage="false"/>
  </sheetPr>
  <dimension ref="A1:D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8"/>
    <col collapsed="false" customWidth="true" hidden="false" outlineLevel="0" max="3" min="3" style="0" width="8"/>
    <col collapsed="false" customWidth="true" hidden="false" outlineLevel="0" max="4" min="4" style="0" width="60"/>
  </cols>
  <sheetData>
    <row r="1" customFormat="false" ht="30" hidden="false" customHeight="true" outlineLevel="0" collapsed="false">
      <c r="A1" s="1" t="s">
        <v>192</v>
      </c>
      <c r="B1" s="1"/>
      <c r="C1" s="1"/>
      <c r="D1" s="1"/>
    </row>
    <row r="2" customFormat="false" ht="18" hidden="false" customHeight="true" outlineLevel="0" collapsed="false">
      <c r="A2" s="2" t="s">
        <v>193</v>
      </c>
      <c r="B2" s="2"/>
      <c r="C2" s="2"/>
      <c r="D2" s="2"/>
    </row>
    <row r="4" customFormat="false" ht="27.75" hidden="false" customHeight="true" outlineLevel="0" collapsed="false">
      <c r="A4" s="8" t="s">
        <v>194</v>
      </c>
      <c r="B4" s="8" t="s">
        <v>195</v>
      </c>
      <c r="C4" s="8" t="s">
        <v>196</v>
      </c>
      <c r="D4" s="8" t="s">
        <v>197</v>
      </c>
    </row>
    <row r="5" customFormat="false" ht="30" hidden="false" customHeight="true" outlineLevel="0" collapsed="false">
      <c r="A5" s="19" t="s">
        <v>198</v>
      </c>
      <c r="B5" s="41" t="s">
        <v>199</v>
      </c>
      <c r="C5" s="42" t="s">
        <v>196</v>
      </c>
      <c r="D5" s="38" t="s">
        <v>200</v>
      </c>
    </row>
    <row r="6" customFormat="false" ht="30" hidden="false" customHeight="true" outlineLevel="0" collapsed="false">
      <c r="A6" s="19" t="s">
        <v>201</v>
      </c>
      <c r="B6" s="41" t="s">
        <v>202</v>
      </c>
      <c r="C6" s="42" t="s">
        <v>196</v>
      </c>
      <c r="D6" s="38" t="s">
        <v>203</v>
      </c>
    </row>
    <row r="7" customFormat="false" ht="30" hidden="false" customHeight="true" outlineLevel="0" collapsed="false">
      <c r="A7" s="19" t="s">
        <v>204</v>
      </c>
      <c r="B7" s="41" t="s">
        <v>205</v>
      </c>
      <c r="C7" s="42" t="s">
        <v>196</v>
      </c>
      <c r="D7" s="38" t="s">
        <v>206</v>
      </c>
    </row>
    <row r="8" customFormat="false" ht="30" hidden="false" customHeight="true" outlineLevel="0" collapsed="false">
      <c r="A8" s="19" t="s">
        <v>207</v>
      </c>
      <c r="B8" s="41" t="s">
        <v>208</v>
      </c>
      <c r="C8" s="42" t="s">
        <v>196</v>
      </c>
      <c r="D8" s="38" t="s">
        <v>209</v>
      </c>
    </row>
  </sheetData>
  <mergeCells count="2">
    <mergeCell ref="A1:D1"/>
    <mergeCell ref="A2:D2"/>
  </mergeCells>
  <hyperlinks>
    <hyperlink ref="C5" r:id="rId1" display="Open"/>
    <hyperlink ref="C6" r:id="rId2" display="Open"/>
    <hyperlink ref="C7" r:id="rId3" display="Open"/>
    <hyperlink ref="C8" r:id="rId4" display="Ope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2026-06-25T10:04:00Z</dcterms:created>
  <dc:creator>openpyxl</dc:creator>
  <dc:description/>
  <dc:language>en-US</dc:language>
  <cp:lastModifiedBy/>
  <dcterms:modified xsi:type="dcterms:W3CDTF">2026-06-25T10:04:00Z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