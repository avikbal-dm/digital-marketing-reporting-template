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8.xml" ContentType="application/vnd.openxmlformats-officedocument.spreadsheetml.comments+xml"/>
  <Override PartName="/xl/theme/theme1.xml" ContentType="application/vnd.openxmlformats-officedocument.theme+xml"/>
  <Override PartName="/xl/comments14.xml" ContentType="application/vnd.openxmlformats-officedocument.spreadsheetml.comments+xml"/>
  <Override PartName="/xl/comments2.xml" ContentType="application/vnd.openxmlformats-officedocument.spreadsheetml.comments+xml"/>
  <Override PartName="/xl/comments11.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comments3.xml" ContentType="application/vnd.openxmlformats-officedocument.spreadsheetml.comments+xml"/>
  <Override PartName="/xl/worksheets/_rels/sheet5.xml.rels" ContentType="application/vnd.openxmlformats-package.relationships+xml"/>
  <Override PartName="/xl/worksheets/_rels/sheet11.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comments9.xml" ContentType="application/vnd.openxmlformats-officedocument.spreadsheetml.comments+xml"/>
  <Override PartName="/xl/drawings/drawing6.xml" ContentType="application/vnd.openxmlformats-officedocument.drawing+xml"/>
  <Override PartName="/xl/drawings/vmlDrawing5.vml" ContentType="application/vnd.openxmlformats-officedocument.vmlDrawing"/>
  <Override PartName="/xl/drawings/vmlDrawing7.vml" ContentType="application/vnd.openxmlformats-officedocument.vmlDrawing"/>
  <Override PartName="/xl/drawings/drawing8.xml" ContentType="application/vnd.openxmlformats-officedocument.drawing+xml"/>
  <Override PartName="/xl/drawings/drawing5.xml" ContentType="application/vnd.openxmlformats-officedocument.drawing+xml"/>
  <Override PartName="/xl/drawings/vmlDrawing4.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6.vml" ContentType="application/vnd.openxmlformats-officedocument.vmlDrawing"/>
  <Override PartName="/xl/drawings/drawing7.xml" ContentType="application/vnd.openxmlformats-officedocument.drawing+xml"/>
  <Override PartName="/xl/drawings/drawing9.xml" ContentType="application/vnd.openxmlformats-officedocument.drawing+xml"/>
  <Override PartName="/xl/drawings/vmlDrawing8.vml" ContentType="application/vnd.openxmlformats-officedocument.vmlDrawing"/>
  <Override PartName="/xl/drawings/drawing10.xml" ContentType="application/vnd.openxmlformats-officedocument.drawing+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vmlDrawing3.vml" ContentType="application/vnd.openxmlformats-officedocument.vmlDrawing"/>
  <Override PartName="/xl/drawings/drawing4.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styles.xml" ContentType="application/vnd.openxmlformats-officedocument.spreadsheetml.style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Executive Summary" sheetId="2" state="visible" r:id="rId4"/>
    <sheet name="KPI Monthly" sheetId="3" state="visible" r:id="rId5"/>
    <sheet name="Month-on-Month" sheetId="4" state="visible" r:id="rId6"/>
    <sheet name="Quarterly" sheetId="5" state="visible" r:id="rId7"/>
    <sheet name="All Pages" sheetId="6" state="visible" r:id="rId8"/>
    <sheet name="By Channel" sheetId="7" state="visible" r:id="rId9"/>
    <sheet name="Paid Campaigns" sheetId="8" state="visible" r:id="rId10"/>
    <sheet name="SEO Keywords" sheetId="9" state="visible" r:id="rId11"/>
    <sheet name="Page Speed" sheetId="10" state="visible" r:id="rId12"/>
    <sheet name="AI Search" sheetId="11" state="visible" r:id="rId13"/>
    <sheet name="AI Prompt Coverage" sheetId="12" state="visible" r:id="rId14"/>
    <sheet name="Risks &amp; Fixes" sheetId="13" state="visible" r:id="rId15"/>
    <sheet name="Geography" sheetId="14" state="visible" r:id="rId16"/>
    <sheet name="Definitions" sheetId="15" state="visible" r:id="rId17"/>
    <sheet name="Sources" sheetId="16" state="visible" r:id="rId18"/>
  </sheets>
  <definedNames>
    <definedName function="false" hidden="true" localSheetId="11" name="_xlnm._FilterDatabase" vbProcedure="false">'AI Prompt Coverage'!$A$4:$D$7</definedName>
    <definedName function="false" hidden="true" localSheetId="10" name="_xlnm._FilterDatabase" vbProcedure="false">'AI Search'!$A$5:$E$9</definedName>
    <definedName function="false" hidden="true" localSheetId="5" name="_xlnm._FilterDatabase" vbProcedure="false">'All Pages'!$A$4:$K$10</definedName>
    <definedName function="false" hidden="true" localSheetId="13" name="_xlnm._FilterDatabase" vbProcedure="false">Geography!$A$4:$E$8</definedName>
    <definedName function="false" hidden="true" localSheetId="2" name="_xlnm._FilterDatabase" vbProcedure="false">'KPI Monthly'!$A$4:$U$28</definedName>
    <definedName function="false" hidden="true" localSheetId="3" name="_xlnm._FilterDatabase" vbProcedure="false">'Month-on-Month'!$A$4:$I$28</definedName>
    <definedName function="false" hidden="true" localSheetId="9" name="_xlnm._FilterDatabase" vbProcedure="false">'Page Speed'!$A$4:$J$7</definedName>
    <definedName function="false" hidden="true" localSheetId="7" name="_xlnm._FilterDatabase" vbProcedure="false">'Paid Campaigns'!$A$4:$M$8</definedName>
    <definedName function="false" hidden="true" localSheetId="12" name="_xlnm._FilterDatabase" vbProcedure="false">'Risks &amp; Fixes'!$A$4:$G$7</definedName>
    <definedName function="false" hidden="true" localSheetId="8" name="_xlnm._FilterDatabase" vbProcedure="false">'SEO Keywords'!$A$4:$K$9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8" authorId="0">
      <text>
        <r>
          <rPr>
            <sz val="10"/>
            <rFont val="Arial"/>
            <family val="2"/>
          </rPr>
          <t xml:space="preserve">Form-fill leads tracked by GA4 (the generate_lead event). This event was set up in June 2026, so months before June are blank, not zero. Use HubSpot for older lead history.</t>
        </r>
      </text>
    </comment>
    <comment ref="A9" authorId="0">
      <text>
        <r>
          <rPr>
            <sz val="10"/>
            <rFont val="Arial"/>
            <family val="2"/>
          </rPr>
          <t xml:space="preserve">Share of visits that turned into a lead. Conversions divided by sessions.</t>
        </r>
      </text>
    </comment>
    <comment ref="A10" authorId="0">
      <text>
        <r>
          <rPr>
            <sz val="10"/>
            <rFont val="Arial"/>
            <family val="2"/>
          </rPr>
          <t xml:space="preserve">Share of visits where someone actually interacted, not just bounced.</t>
        </r>
      </text>
    </comment>
    <comment ref="A11" authorId="0">
      <text>
        <r>
          <rPr>
            <sz val="10"/>
            <rFont val="Arial"/>
            <family val="2"/>
          </rPr>
          <t xml:space="preserve">Share of visits that leave after one page with no interaction.</t>
        </r>
      </text>
    </comment>
    <comment ref="A12" authorId="0">
      <text>
        <r>
          <rPr>
            <sz val="10"/>
            <rFont val="Arial"/>
            <family val="2"/>
          </rPr>
          <t xml:space="preserve">Total money spent on Google and LinkedIn ads in the period.</t>
        </r>
      </text>
    </comment>
    <comment ref="A13" authorId="0">
      <text>
        <r>
          <rPr>
            <sz val="10"/>
            <rFont val="Arial"/>
            <family val="2"/>
          </rPr>
          <t xml:space="preserve">Spend divided by the number of leads. The blended CPL.</t>
        </r>
      </text>
    </comment>
    <comment ref="A14" authorId="0">
      <text>
        <r>
          <rPr>
            <sz val="10"/>
            <rFont val="Arial"/>
            <family val="2"/>
          </rPr>
          <t xml:space="preserve">Clicks from unpaid Google search results, via Search Console.</t>
        </r>
      </text>
    </comment>
    <comment ref="A15" authorId="0">
      <text>
        <r>
          <rPr>
            <sz val="10"/>
            <rFont val="Arial"/>
            <family val="2"/>
          </rPr>
          <t xml:space="preserve">Click-through rate on organic listings. Clicks divided by impressions.</t>
        </r>
      </text>
    </comment>
    <comment ref="A16" authorId="0">
      <text>
        <r>
          <rPr>
            <sz val="10"/>
            <rFont val="Arial"/>
            <family val="2"/>
          </rPr>
          <t xml:space="preserve">Average rank in Google search results. Lower is better.</t>
        </r>
      </text>
    </comment>
    <comment ref="A17" authorId="0">
      <text>
        <r>
          <rPr>
            <sz val="10"/>
            <rFont val="Arial"/>
            <family val="2"/>
          </rPr>
          <t xml:space="preserve">Share of organic clicks from queries that do not contain 'azentio'. Your real, non-brand demand. The rest is people already searching your name.</t>
        </r>
      </text>
    </comment>
    <comment ref="A18" authorId="0">
      <text>
        <r>
          <rPr>
            <sz val="10"/>
            <rFont val="Arial"/>
            <family val="2"/>
          </rPr>
          <t xml:space="preserve">Times an AI answer linked to your page as a source.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Distinct people who visited the site, counted once each.</t>
        </r>
      </text>
    </comment>
    <comment ref="E4" authorId="0">
      <text>
        <r>
          <rPr>
            <sz val="10"/>
            <rFont val="Arial"/>
            <family val="2"/>
          </rPr>
          <t xml:space="preserve">Share of visits where someone actually interacted, not just bounced.</t>
        </r>
      </text>
    </comment>
    <comment ref="F4" authorId="0">
      <text>
        <r>
          <rPr>
            <sz val="10"/>
            <rFont val="Arial"/>
            <family val="2"/>
          </rPr>
          <t xml:space="preserve">Share of visits that leave after one page with no interaction.</t>
        </r>
      </text>
    </comment>
    <comment ref="G4" authorId="0">
      <text>
        <r>
          <rPr>
            <sz val="10"/>
            <rFont val="Arial"/>
            <family val="2"/>
          </rPr>
          <t xml:space="preserve">How long a typical visit lasts on the site, in seconds.</t>
        </r>
      </text>
    </comment>
    <comment ref="H4" authorId="0">
      <text>
        <r>
          <rPr>
            <sz val="10"/>
            <rFont val="Arial"/>
            <family val="2"/>
          </rPr>
          <t xml:space="preserve">Form-fill leads tracked by GA4 (the generate_lead event). This event was set up in June 2026, so months before June are blank, not zero. Use HubSpot for older lead history.</t>
        </r>
      </text>
    </comment>
    <comment ref="I4" authorId="0">
      <text>
        <r>
          <rPr>
            <sz val="10"/>
            <rFont val="Arial"/>
            <family val="2"/>
          </rPr>
          <t xml:space="preserve">Share of visits that turned into a lead. Conversions divided by sessions.</t>
        </r>
      </text>
    </comment>
    <comment ref="J4" authorId="0">
      <text>
        <r>
          <rPr>
            <sz val="10"/>
            <rFont val="Arial"/>
            <family val="2"/>
          </rPr>
          <t xml:space="preserve">Total money spent on Google and LinkedIn ads in the period.</t>
        </r>
      </text>
    </comment>
    <comment ref="K4" authorId="0">
      <text>
        <r>
          <rPr>
            <sz val="10"/>
            <rFont val="Arial"/>
            <family val="2"/>
          </rPr>
          <t xml:space="preserve">Spend divided by the number of leads. The blended CPL.</t>
        </r>
      </text>
    </comment>
    <comment ref="L4" authorId="0">
      <text>
        <r>
          <rPr>
            <sz val="10"/>
            <rFont val="Arial"/>
            <family val="2"/>
          </rPr>
          <t xml:space="preserve">Clicks from unpaid Google search results, via Search Console.</t>
        </r>
      </text>
    </comment>
    <comment ref="M4" authorId="0">
      <text>
        <r>
          <rPr>
            <sz val="10"/>
            <rFont val="Arial"/>
            <family val="2"/>
          </rPr>
          <t xml:space="preserve">Times your pages showed in unpaid search results.</t>
        </r>
      </text>
    </comment>
    <comment ref="N4" authorId="0">
      <text>
        <r>
          <rPr>
            <sz val="10"/>
            <rFont val="Arial"/>
            <family val="2"/>
          </rPr>
          <t xml:space="preserve">Click-through rate on organic listings. Clicks divided by impressions.</t>
        </r>
      </text>
    </comment>
    <comment ref="O4" authorId="0">
      <text>
        <r>
          <rPr>
            <sz val="10"/>
            <rFont val="Arial"/>
            <family val="2"/>
          </rPr>
          <t xml:space="preserve">Average rank in Google search results. Lower is better.</t>
        </r>
      </text>
    </comment>
    <comment ref="P4" authorId="0">
      <text>
        <r>
          <rPr>
            <sz val="10"/>
            <rFont val="Arial"/>
            <family val="2"/>
          </rPr>
          <t xml:space="preserve">Search terms your site currently ranks for.</t>
        </r>
      </text>
    </comment>
    <comment ref="Q4" authorId="0">
      <text>
        <r>
          <rPr>
            <sz val="10"/>
            <rFont val="Arial"/>
            <family val="2"/>
          </rPr>
          <t xml:space="preserve">Share of organic clicks from queries that do not contain 'azentio'. Your real, non-brand demand. The rest is people already searching your name.</t>
        </r>
      </text>
    </comment>
    <comment ref="R4" authorId="0">
      <text>
        <r>
          <rPr>
            <sz val="10"/>
            <rFont val="Arial"/>
            <family val="2"/>
          </rPr>
          <t xml:space="preserve">Times an AI answer named your brand, with or without a link.</t>
        </r>
      </text>
    </comment>
    <comment ref="S4" authorId="0">
      <text>
        <r>
          <rPr>
            <sz val="10"/>
            <rFont val="Arial"/>
            <family val="2"/>
          </rPr>
          <t xml:space="preserve">Times an AI answer linked to your page as a source.</t>
        </r>
      </text>
    </comment>
    <comment ref="T4" authorId="0">
      <text>
        <r>
          <rPr>
            <sz val="10"/>
            <rFont val="Arial"/>
            <family val="2"/>
          </rPr>
          <t xml:space="preserve">Visits that arrived from an AI assistant like ChatGPT or Perplexity.</t>
        </r>
      </text>
    </comment>
    <comment ref="U4" authorId="0">
      <text>
        <r>
          <rPr>
            <sz val="10"/>
            <rFont val="Arial"/>
            <family val="2"/>
          </rPr>
          <t xml:space="preserve">Visits that arrived from an AI assistant like ChatGPT or Perplexity.</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Distinct people who visited the site, counted once each.</t>
        </r>
      </text>
    </comment>
    <comment ref="C4" authorId="0">
      <text>
        <r>
          <rPr>
            <sz val="10"/>
            <rFont val="Arial"/>
            <family val="2"/>
          </rPr>
          <t xml:space="preserve">Form-fill leads tracked by GA4 (the generate_lead event). This event was set up in June 2026, so months before June are blank, not zero. Use HubSpot for older lead history.</t>
        </r>
      </text>
    </comment>
    <comment ref="D4" authorId="0">
      <text>
        <r>
          <rPr>
            <sz val="10"/>
            <rFont val="Arial"/>
            <family val="2"/>
          </rPr>
          <t xml:space="preserve">Share of visits that turned into a lead. Conversions divided by sessions.</t>
        </r>
      </text>
    </comment>
    <comment ref="E4" authorId="0">
      <text>
        <r>
          <rPr>
            <sz val="10"/>
            <rFont val="Arial"/>
            <family val="2"/>
          </rPr>
          <t xml:space="preserve">Share of visits where someone actually interacted, not just bounced.</t>
        </r>
      </text>
    </comment>
    <comment ref="F4" authorId="0">
      <text>
        <r>
          <rPr>
            <sz val="10"/>
            <rFont val="Arial"/>
            <family val="2"/>
          </rPr>
          <t xml:space="preserve">Share of visits that leave after one page with no interaction.</t>
        </r>
      </text>
    </comment>
    <comment ref="G4" authorId="0">
      <text>
        <r>
          <rPr>
            <sz val="10"/>
            <rFont val="Arial"/>
            <family val="2"/>
          </rPr>
          <t xml:space="preserve">Total money spent on Google and LinkedIn ads in the period.</t>
        </r>
      </text>
    </comment>
    <comment ref="H4" authorId="0">
      <text>
        <r>
          <rPr>
            <sz val="10"/>
            <rFont val="Arial"/>
            <family val="2"/>
          </rPr>
          <t xml:space="preserve">Spend divided by the number of leads. The blended CPL.</t>
        </r>
      </text>
    </comment>
    <comment ref="I4" authorId="0">
      <text>
        <r>
          <rPr>
            <sz val="10"/>
            <rFont val="Arial"/>
            <family val="2"/>
          </rPr>
          <t xml:space="preserve">Clicks from unpaid Google search results, via Search Console.</t>
        </r>
      </text>
    </comment>
    <comment ref="J4" authorId="0">
      <text>
        <r>
          <rPr>
            <sz val="10"/>
            <rFont val="Arial"/>
            <family val="2"/>
          </rPr>
          <t xml:space="preserve">Share of organic clicks from queries that do not contain 'azentio'. Your real, non-brand demand. The rest is people already searching your name.</t>
        </r>
      </text>
    </comment>
    <comment ref="K4" authorId="0">
      <text>
        <r>
          <rPr>
            <sz val="10"/>
            <rFont val="Arial"/>
            <family val="2"/>
          </rPr>
          <t xml:space="preserve">Times an AI answer linked to your page as a source.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Distinct people who visited the site, counted once each.</t>
        </r>
      </text>
    </comment>
    <comment ref="D4" authorId="0">
      <text>
        <r>
          <rPr>
            <sz val="10"/>
            <rFont val="Arial"/>
            <family val="2"/>
          </rPr>
          <t xml:space="preserve">Share of visits where someone actually interacted, not just bounced.</t>
        </r>
      </text>
    </comment>
    <comment ref="E4" authorId="0">
      <text>
        <r>
          <rPr>
            <sz val="10"/>
            <rFont val="Arial"/>
            <family val="2"/>
          </rPr>
          <t xml:space="preserve">Share of visits that leave after one page with no interaction.</t>
        </r>
      </text>
    </comment>
    <comment ref="F4" authorId="0">
      <text>
        <r>
          <rPr>
            <sz val="10"/>
            <rFont val="Arial"/>
            <family val="2"/>
          </rPr>
          <t xml:space="preserve">Form-fill leads tracked by GA4 (the generate_lead event). This event was set up in June 2026, so months before June are blank, not zero. Use HubSpot for older lead history.</t>
        </r>
      </text>
    </comment>
    <comment ref="G4" authorId="0">
      <text>
        <r>
          <rPr>
            <sz val="10"/>
            <rFont val="Arial"/>
            <family val="2"/>
          </rPr>
          <t xml:space="preserve">Share of visits that turned into a lead. Conversions divided by sessions.</t>
        </r>
      </text>
    </comment>
    <comment ref="H4" authorId="0">
      <text>
        <r>
          <rPr>
            <sz val="10"/>
            <rFont val="Arial"/>
            <family val="2"/>
          </rPr>
          <t xml:space="preserve">Clicks from unpaid Google search results, via Search Console.</t>
        </r>
      </text>
    </comment>
    <comment ref="I4" authorId="0">
      <text>
        <r>
          <rPr>
            <sz val="10"/>
            <rFont val="Arial"/>
            <family val="2"/>
          </rPr>
          <t xml:space="preserve">Times your pages showed in unpaid search results.</t>
        </r>
      </text>
    </comment>
    <comment ref="J4" authorId="0">
      <text>
        <r>
          <rPr>
            <sz val="10"/>
            <rFont val="Arial"/>
            <family val="2"/>
          </rPr>
          <t xml:space="preserve">Click-through rate on organic listings. Clicks divided by impressions.</t>
        </r>
      </text>
    </comment>
    <comment ref="K4" authorId="0">
      <text>
        <r>
          <rPr>
            <sz val="10"/>
            <rFont val="Arial"/>
            <family val="2"/>
          </rPr>
          <t xml:space="preserve">Average rank in Google search results. Lower is better.</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Distinct people who visited the site, counted once each.</t>
        </r>
      </text>
    </comment>
    <comment ref="C5" authorId="0">
      <text>
        <r>
          <rPr>
            <sz val="10"/>
            <rFont val="Arial"/>
            <family val="2"/>
          </rPr>
          <t xml:space="preserve">Form-fill leads tracked by GA4 (the generate_lead event). This event was set up in June 2026, so months before June are blank, not zero. Use HubSpot for older lead history.</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How many times your link was shown in search or an ad.</t>
        </r>
      </text>
    </comment>
    <comment ref="H4" authorId="0">
      <text>
        <r>
          <rPr>
            <sz val="10"/>
            <rFont val="Arial"/>
            <family val="2"/>
          </rPr>
          <t xml:space="preserve">How many times people clicked through to the site.</t>
        </r>
      </text>
    </comment>
    <comment ref="I4" authorId="0">
      <text>
        <r>
          <rPr>
            <sz val="10"/>
            <rFont val="Arial"/>
            <family val="2"/>
          </rPr>
          <t xml:space="preserve">Click-through rate. Clicks divided by impressions, as a percentage.</t>
        </r>
      </text>
    </comment>
    <comment ref="K4" authorId="0">
      <text>
        <r>
          <rPr>
            <sz val="10"/>
            <rFont val="Arial"/>
            <family val="2"/>
          </rPr>
          <t xml:space="preserve">Cost per click, blended across Google Ads and LinkedIn.</t>
        </r>
      </text>
    </comment>
    <comment ref="M4" authorId="0">
      <text>
        <r>
          <rPr>
            <sz val="10"/>
            <rFont val="Arial"/>
            <family val="2"/>
          </rPr>
          <t xml:space="preserve">Cost per lead. Spend divided by the number of leads.</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F4" authorId="0">
      <text>
        <r>
          <rPr>
            <sz val="10"/>
            <rFont val="Arial"/>
            <family val="2"/>
          </rPr>
          <t xml:space="preserve">Average rank in Google search results. Lower is better.</t>
        </r>
      </text>
    </comment>
    <comment ref="G4" authorId="0">
      <text>
        <r>
          <rPr>
            <sz val="10"/>
            <rFont val="Arial"/>
            <family val="2"/>
          </rPr>
          <t xml:space="preserve">Average rank in Google search results. Lower is better.</t>
        </r>
      </text>
    </comment>
    <comment ref="H4" authorId="0">
      <text>
        <r>
          <rPr>
            <sz val="10"/>
            <rFont val="Arial"/>
            <family val="2"/>
          </rPr>
          <t xml:space="preserve">Times your pages showed in unpaid search results.</t>
        </r>
      </text>
    </comment>
    <comment ref="I4" authorId="0">
      <text>
        <r>
          <rPr>
            <sz val="10"/>
            <rFont val="Arial"/>
            <family val="2"/>
          </rPr>
          <t xml:space="preserve">Clicks from unpaid Google search results, via Search Console.</t>
        </r>
      </text>
    </comment>
    <comment ref="J4" authorId="0">
      <text>
        <r>
          <rPr>
            <sz val="10"/>
            <rFont val="Arial"/>
            <family val="2"/>
          </rPr>
          <t xml:space="preserve">Click-through rate on organic listings. Clicks divided by impressions.</t>
        </r>
      </text>
    </comment>
    <comment ref="K4" authorId="0">
      <text>
        <r>
          <rPr>
            <sz val="10"/>
            <rFont val="Arial"/>
            <family val="2"/>
          </rPr>
          <t xml:space="preserve">Keywords ranking just off page one (positions 4 to 10) that small fixes can lift.</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Google's 0 to 100 speed grade for the page. 90+ is good.</t>
        </r>
      </text>
    </comment>
    <comment ref="F4" authorId="0">
      <text>
        <r>
          <rPr>
            <sz val="10"/>
            <rFont val="Arial"/>
            <family val="2"/>
          </rPr>
          <t xml:space="preserve">Largest Contentful Paint. How fast the main content loads. Under 2.5s is good.</t>
        </r>
      </text>
    </comment>
    <comment ref="H4" authorId="0">
      <text>
        <r>
          <rPr>
            <sz val="10"/>
            <rFont val="Arial"/>
            <family val="2"/>
          </rPr>
          <t xml:space="preserve">Cumulative Layout Shift. How much the page jumps while loading. Under 0.1 is good.</t>
        </r>
      </text>
    </comment>
    <comment ref="J4" authorId="0">
      <text>
        <r>
          <rPr>
            <sz val="10"/>
            <rFont val="Arial"/>
            <family val="2"/>
          </rPr>
          <t xml:space="preserve">Largest Contentful Paint. How fast the main content loads. Under 2.5s is good.</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Times an AI answer named your brand, with or without a link.</t>
        </r>
      </text>
    </comment>
    <comment ref="C5" authorId="0">
      <text>
        <r>
          <rPr>
            <sz val="10"/>
            <rFont val="Arial"/>
            <family val="2"/>
          </rPr>
          <t xml:space="preserve">Distinct users who arrived from an AI assistant referral (GA4), June month-to-date.</t>
        </r>
      </text>
    </comment>
    <comment ref="C12" authorId="0">
      <text>
        <r>
          <rPr>
            <sz val="10"/>
            <rFont val="Arial"/>
            <family val="2"/>
          </rPr>
          <t xml:space="preserve">Times an AI answer linked to your page as a source.</t>
        </r>
      </text>
    </comment>
    <comment ref="D5" authorId="0">
      <text>
        <r>
          <rPr>
            <sz val="10"/>
            <rFont val="Arial"/>
            <family val="2"/>
          </rPr>
          <t xml:space="preserve">Form-fill leads tracked by GA4 (the generate_lead event). This event was set up in June 2026, so months before June are blank, not zero. Use HubSpot for older lead history.</t>
        </r>
      </text>
    </comment>
    <comment ref="E12" authorId="0">
      <text>
        <r>
          <rPr>
            <sz val="10"/>
            <rFont val="Arial"/>
            <family val="2"/>
          </rPr>
          <t xml:space="preserve">Your slice of all brand mentions in AI answers, versus competitors.</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Distinct people who visited the site, counted once each.</t>
        </r>
      </text>
    </comment>
    <comment ref="D4" authorId="0">
      <text>
        <r>
          <rPr>
            <sz val="10"/>
            <rFont val="Arial"/>
            <family val="2"/>
          </rPr>
          <t xml:space="preserve">Form-fill leads tracked by GA4 (the generate_lead event). This event was set up in June 2026, so months before June are blank, not zero. Use HubSpot for older lead history.</t>
        </r>
      </text>
    </comment>
  </commentList>
</comments>
</file>

<file path=xl/sharedStrings.xml><?xml version="1.0" encoding="utf-8"?>
<sst xmlns="http://schemas.openxmlformats.org/spreadsheetml/2006/main" count="564" uniqueCount="361">
  <si>
    <t xml:space="preserve">Your Company Marketing Command Center</t>
  </si>
  <si>
    <t xml:space="preserve">Executive reporting workbook  ·  green-themed, formula-driven, built to update every month and quarter</t>
  </si>
  <si>
    <t xml:space="preserve">How this workbook is built</t>
  </si>
  <si>
    <t xml:space="preserve">One source of truth</t>
  </si>
  <si>
    <t xml:space="preserve">Type your numbers once each month into the KPI Monthly tab. The Executive Summary, Month-on-Month and Quarterly tabs read from it with formulas and recompute on their own.</t>
  </si>
  <si>
    <t xml:space="preserve">Add a month</t>
  </si>
  <si>
    <t xml:space="preserve">Open KPI Monthly. The month and quarter labels through Dec 2027 are already laid out. Find the new month row and fill the blue input cells. The grey formula cells (conversion rate, cost per lead, organic CTR) fill themselves.</t>
  </si>
  <si>
    <t xml:space="preserve">Add a quarter</t>
  </si>
  <si>
    <t xml:space="preserve">Nothing to do. The Quarterly tab groups months by the quarter label automatically. Once three months of a quarter are in, the quarter-on-quarter change is live.</t>
  </si>
  <si>
    <t xml:space="preserve">Pick the reporting month</t>
  </si>
  <si>
    <t xml:space="preserve">On the Executive Summary tab, use the green dropdown at the top to choose which month the scorecard shows. Everything below it follows that choice.</t>
  </si>
  <si>
    <t xml:space="preserve">Filter anything</t>
  </si>
  <si>
    <t xml:space="preserve">Every data tab has filter arrows in the header row. Click them to slice by product, channel, geography or month. The deep-dive tabs carry a Month column so future months stack underneath and stay filterable.</t>
  </si>
  <si>
    <t xml:space="preserve">Reading the colours</t>
  </si>
  <si>
    <t xml:space="preserve">Blue numbers</t>
  </si>
  <si>
    <t xml:space="preserve">You type these. Inputs you update each month.</t>
  </si>
  <si>
    <t xml:space="preserve">Black numbers</t>
  </si>
  <si>
    <t xml:space="preserve">Formulas. Leave them alone and they stay correct.</t>
  </si>
  <si>
    <t xml:space="preserve">Green numbers</t>
  </si>
  <si>
    <t xml:space="preserve">Links that pull from another tab.</t>
  </si>
  <si>
    <t xml:space="preserve">Yellow cells</t>
  </si>
  <si>
    <t xml:space="preserve">Targets and the month selector. Change these to re-baseline.</t>
  </si>
  <si>
    <t xml:space="preserve">Hover for definitions</t>
  </si>
  <si>
    <t xml:space="preserve">Cells with a small red corner have a plain-language definition. Hover to read it. Every metric is also spelled out on the Definitions tab.</t>
  </si>
  <si>
    <t xml:space="preserve">Where the numbers come from</t>
  </si>
  <si>
    <t xml:space="preserve">The Sources tab lists each tool, the exact account, a direct link, and the filters to match so anyone can verify a figure at source.</t>
  </si>
  <si>
    <t xml:space="preserve">On the data</t>
  </si>
  <si>
    <t xml:space="preserve">This workbook is a TEMPLATE. Every number shown is placeholder sample data to show the structure. Fill the KPI Monthly tab one row per month, and replace the SAMPLE rows on each deep-dive tab with your own pull. The fastest way is Claude plus the Windsor.ai connector: ask Claude to pull GA4, Search Console, Google Ads, LinkedIn and PageSpeed, then let it write each tab (see the README for the exact prompts). Percentages are stored as values (26.0% = 0.26). Month and quarter labels extend as far as you need.</t>
  </si>
  <si>
    <t xml:space="preserve">Executive Summary</t>
  </si>
  <si>
    <t xml:space="preserve">engine</t>
  </si>
  <si>
    <t xml:space="preserve">Pick a month. The scorecard, the comparisons and the read-outs all follow your choice.</t>
  </si>
  <si>
    <t xml:space="preserve">Reporting month</t>
  </si>
  <si>
    <t xml:space="preserve">Jun 2026</t>
  </si>
  <si>
    <t xml:space="preserve">  Change this dropdown to refresh everything below. Add new months on KPI Monthly and they appear here.</t>
  </si>
  <si>
    <t xml:space="preserve">Metric</t>
  </si>
  <si>
    <t xml:space="preserve">This month</t>
  </si>
  <si>
    <t xml:space="preserve">Prior month</t>
  </si>
  <si>
    <t xml:space="preserve">MoM change</t>
  </si>
  <si>
    <t xml:space="preserve">Target</t>
  </si>
  <si>
    <t xml:space="preserve">Status</t>
  </si>
  <si>
    <t xml:space="preserve">What it means</t>
  </si>
  <si>
    <t xml:space="preserve">Total Users</t>
  </si>
  <si>
    <t xml:space="preserve">n/a</t>
  </si>
  <si>
    <t xml:space="preserve">Qualified Leads</t>
  </si>
  <si>
    <t xml:space="preserve">Conversion Rate</t>
  </si>
  <si>
    <t xml:space="preserve">Engagement Rate</t>
  </si>
  <si>
    <t xml:space="preserve">Bounce Rate</t>
  </si>
  <si>
    <t xml:space="preserve">Paid Spend ($)</t>
  </si>
  <si>
    <t xml:space="preserve">Cost / Lead ($)</t>
  </si>
  <si>
    <t xml:space="preserve">Organic Clicks</t>
  </si>
  <si>
    <t xml:space="preserve">Organic CTR</t>
  </si>
  <si>
    <t xml:space="preserve">Avg Position</t>
  </si>
  <si>
    <t xml:space="preserve">Non-brand Share</t>
  </si>
  <si>
    <t xml:space="preserve">AI Citations</t>
  </si>
  <si>
    <t xml:space="preserve">Insight call-outs</t>
  </si>
  <si>
    <t xml:space="preserve">KPI Monthly: single source of truth</t>
  </si>
  <si>
    <t xml:space="preserve">Fill the blue cells once a month. Grey cells are formulas. Everything else in the workbook reads from here.</t>
  </si>
  <si>
    <t xml:space="preserve">Month</t>
  </si>
  <si>
    <t xml:space="preserve">Quarter</t>
  </si>
  <si>
    <t xml:space="preserve">Type</t>
  </si>
  <si>
    <t xml:space="preserve">Users</t>
  </si>
  <si>
    <t xml:space="preserve">Avg Session (sec)</t>
  </si>
  <si>
    <t xml:space="preserve">Organic Impr.</t>
  </si>
  <si>
    <t xml:space="preserve">Ranking Keywords</t>
  </si>
  <si>
    <t xml:space="preserve">AI Mentions</t>
  </si>
  <si>
    <t xml:space="preserve">AI Ref. Sessions</t>
  </si>
  <si>
    <t xml:space="preserve">AI Ref. Leads</t>
  </si>
  <si>
    <t xml:space="preserve">Month 1</t>
  </si>
  <si>
    <t xml:space="preserve">Q1</t>
  </si>
  <si>
    <t xml:space="preserve">Sample</t>
  </si>
  <si>
    <t xml:space="preserve">Month 2</t>
  </si>
  <si>
    <t xml:space="preserve">Month 3</t>
  </si>
  <si>
    <t xml:space="preserve">Month 4</t>
  </si>
  <si>
    <t xml:space="preserve">Q2</t>
  </si>
  <si>
    <t xml:space="preserve">Month 5</t>
  </si>
  <si>
    <t xml:space="preserve">Month 6</t>
  </si>
  <si>
    <t xml:space="preserve">Month 7</t>
  </si>
  <si>
    <t xml:space="preserve">Q3</t>
  </si>
  <si>
    <t xml:space="preserve">Month 8</t>
  </si>
  <si>
    <t xml:space="preserve">Month 9</t>
  </si>
  <si>
    <t xml:space="preserve">Month 10</t>
  </si>
  <si>
    <t xml:space="preserve">Q4</t>
  </si>
  <si>
    <t xml:space="preserve">Month 11</t>
  </si>
  <si>
    <t xml:space="preserve">Month 12</t>
  </si>
  <si>
    <t xml:space="preserve">Month 13</t>
  </si>
  <si>
    <t xml:space="preserve">Q5</t>
  </si>
  <si>
    <t xml:space="preserve">Month 14</t>
  </si>
  <si>
    <t xml:space="preserve">Month 15</t>
  </si>
  <si>
    <t xml:space="preserve">Month 16</t>
  </si>
  <si>
    <t xml:space="preserve">Q6</t>
  </si>
  <si>
    <t xml:space="preserve">Month 17</t>
  </si>
  <si>
    <t xml:space="preserve">Month 18</t>
  </si>
  <si>
    <t xml:space="preserve">Month 19</t>
  </si>
  <si>
    <t xml:space="preserve">Q7</t>
  </si>
  <si>
    <t xml:space="preserve">Month 20</t>
  </si>
  <si>
    <t xml:space="preserve">Month 21</t>
  </si>
  <si>
    <t xml:space="preserve">Month 22</t>
  </si>
  <si>
    <t xml:space="preserve">Q8</t>
  </si>
  <si>
    <t xml:space="preserve">Month 23</t>
  </si>
  <si>
    <t xml:space="preserve">Month 24</t>
  </si>
  <si>
    <t xml:space="preserve">Blue = type it in.  Grey = formula, do not edit.  Percentages are stored as values (26.0% = 0.26).  Month and quarter labels run through Dec 2027. Just fill the blue cells as each month closes.</t>
  </si>
  <si>
    <t xml:space="preserve">Month-on-Month</t>
  </si>
  <si>
    <t xml:space="preserve">Change versus the previous month. Volume metrics show % change, rate metrics show change in percentage points (pp).</t>
  </si>
  <si>
    <t xml:space="preserve">Conv. Rate (pp)</t>
  </si>
  <si>
    <t xml:space="preserve">Paid Spend</t>
  </si>
  <si>
    <t xml:space="preserve">Cost / Lead</t>
  </si>
  <si>
    <t xml:space="preserve">Non-brand (pp)</t>
  </si>
  <si>
    <t xml:space="preserve">Note: green is up, red is down. For Cost / Lead and Bounce, down is the good direction even though it prints red. Empty rows are months you have not filled yet.</t>
  </si>
  <si>
    <t xml:space="preserve">Quarterly: quarter-on-quarter</t>
  </si>
  <si>
    <t xml:space="preserve">Months roll up by quarter automatically. Volume metrics are summed, rate metrics are the average of the months in the quarter.</t>
  </si>
  <si>
    <t xml:space="preserve">Conv. Rate</t>
  </si>
  <si>
    <t xml:space="preserve">Engagement</t>
  </si>
  <si>
    <t xml:space="preserve">Bounce</t>
  </si>
  <si>
    <t xml:space="preserve">Non-brand</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</si>
  <si>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</si>
  <si>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</si>
  <si>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</si>
  <si>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</si>
  <si>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</si>
  <si>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</si>
  <si>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</si>
  <si>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</si>
  <si>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Quarter-on-quarter change</t>
  </si>
  <si>
    <t xml:space="preserve">All Pages: per-page performance</t>
  </si>
  <si>
    <t xml:space="preserve">Every page with real traffic. GA4 Total Users, engagement, bounce and leads are the latest month; organic clicks, impressions and position are Search Console for your reporting window. Conversion rate and organic CTR are formulas. Filter by Section, sort by any column.</t>
  </si>
  <si>
    <t xml:space="preserve">Page</t>
  </si>
  <si>
    <t xml:space="preserve">Section</t>
  </si>
  <si>
    <t xml:space="preserve">Leads</t>
  </si>
  <si>
    <t xml:space="preserve">/</t>
  </si>
  <si>
    <t xml:space="preserve">Homepage</t>
  </si>
  <si>
    <t xml:space="preserve">/product-a</t>
  </si>
  <si>
    <t xml:space="preserve">Product A</t>
  </si>
  <si>
    <t xml:space="preserve">/pricing</t>
  </si>
  <si>
    <t xml:space="preserve">Conversion</t>
  </si>
  <si>
    <t xml:space="preserve">/blog/example-post</t>
  </si>
  <si>
    <t xml:space="preserve">Insights</t>
  </si>
  <si>
    <t xml:space="preserve">/product-a-thank-you</t>
  </si>
  <si>
    <t xml:space="preserve">TOTAL</t>
  </si>
  <si>
    <t xml:space="preserve">All pages</t>
  </si>
  <si>
    <t xml:space="preserve">Sample data shown. Replace the rows above with your own pull (see the Guide tab), then write your read of the numbers here for whoever opens the report.</t>
  </si>
  <si>
    <t xml:space="preserve">By Channel: month on month</t>
  </si>
  <si>
    <t xml:space="preserve">GA4 users by channel, every month Jan to June 2026. Leads (GA4 form-fill event) are tracked from June only, so earlier months are blank, not zero. June is month-to-date.</t>
  </si>
  <si>
    <t xml:space="preserve">Channel</t>
  </si>
  <si>
    <t xml:space="preserve">No. of Leads</t>
  </si>
  <si>
    <t xml:space="preserve">Direct</t>
  </si>
  <si>
    <t xml:space="preserve">Organic Search</t>
  </si>
  <si>
    <t xml:space="preserve">Paid Search</t>
  </si>
  <si>
    <t xml:space="preserve">Paid Social</t>
  </si>
  <si>
    <t xml:space="preserve">Referral</t>
  </si>
  <si>
    <t xml:space="preserve">Paid Campaigns: by month</t>
  </si>
  <si>
    <t xml:space="preserve">Google Ads + LinkedIn, one row per campaign per month from your reporting window. CTR, CPC and cost per conversion are formulas. Conversions are platform-reported; LinkedIn reports zero tracked conversions. Filter or sort by Month or Campaign.</t>
  </si>
  <si>
    <t xml:space="preserve">Campaign</t>
  </si>
  <si>
    <t xml:space="preserve">Platform</t>
  </si>
  <si>
    <t xml:space="preserve">Product</t>
  </si>
  <si>
    <t xml:space="preserve">Geo</t>
  </si>
  <si>
    <t xml:space="preserve">Impressions</t>
  </si>
  <si>
    <t xml:space="preserve">Clicks</t>
  </si>
  <si>
    <t xml:space="preserve">CTR</t>
  </si>
  <si>
    <t xml:space="preserve">Spend ($)</t>
  </si>
  <si>
    <t xml:space="preserve">CPC ($)</t>
  </si>
  <si>
    <t xml:space="preserve">Conversions</t>
  </si>
  <si>
    <t xml:space="preserve">Cost/Conv ($)</t>
  </si>
  <si>
    <t xml:space="preserve">Search - Brand</t>
  </si>
  <si>
    <t xml:space="preserve">Google</t>
  </si>
  <si>
    <t xml:space="preserve">Region</t>
  </si>
  <si>
    <t xml:space="preserve">Awareness - Social</t>
  </si>
  <si>
    <t xml:space="preserve">LinkedIn</t>
  </si>
  <si>
    <t xml:space="preserve">Product B</t>
  </si>
  <si>
    <t xml:space="preserve">All campaigns (Jan-Jun)</t>
  </si>
  <si>
    <t xml:space="preserve">SEO Keywords: all ranking terms</t>
  </si>
  <si>
    <t xml:space="preserve">Every organic keyword that earned at least one click, Search Console your reporting window. First Click Month is the first month the term recorded a click in this window. Ranking URL is the page Google shows for it. Filter by Position Band or Type. CTR and the striking-distance flag are formulas.</t>
  </si>
  <si>
    <t xml:space="preserve">First Click Month</t>
  </si>
  <si>
    <t xml:space="preserve">Keyword</t>
  </si>
  <si>
    <t xml:space="preserve">Ranking URL</t>
  </si>
  <si>
    <t xml:space="preserve">Position Band</t>
  </si>
  <si>
    <t xml:space="preserve">Striking distance?</t>
  </si>
  <si>
    <t xml:space="preserve">your brand</t>
  </si>
  <si>
    <t xml:space="preserve">Brand / Other</t>
  </si>
  <si>
    <t xml:space="preserve">Brand</t>
  </si>
  <si>
    <t xml:space="preserve">https://yourdomain.com/</t>
  </si>
  <si>
    <t xml:space="preserve">1-3</t>
  </si>
  <si>
    <t xml:space="preserve">product a software</t>
  </si>
  <si>
    <t xml:space="preserve">https://yourdomain.com/product-a</t>
  </si>
  <si>
    <t xml:space="preserve">4-10</t>
  </si>
  <si>
    <t xml:space="preserve">best product b tool</t>
  </si>
  <si>
    <t xml:space="preserve">https://yourdomain.com/product-b</t>
  </si>
  <si>
    <t xml:space="preserve">what is product c</t>
  </si>
  <si>
    <t xml:space="preserve">Product C</t>
  </si>
  <si>
    <t xml:space="preserve">https://yourdomain.com/product-c</t>
  </si>
  <si>
    <t xml:space="preserve">11-20</t>
  </si>
  <si>
    <t xml:space="preserve">product a pricing</t>
  </si>
  <si>
    <t xml:space="preserve">https://yourdomain.com/pricing</t>
  </si>
  <si>
    <t xml:space="preserve">21-50</t>
  </si>
  <si>
    <t xml:space="preserve">Page Speed: Core Web Vitals</t>
  </si>
  <si>
    <t xml:space="preserve">Mobile Google PageSpeed Insights. The homepage is live from the Windsor feed (your pull date). The product and landing pages are queued: the public PSI endpoint rate-limits the shared connection, so per-URL scores need a PageSpeed Insights API key. Status columns are formulas against Google's thresholds (Perf 90+, LCP under 2.5s, CLS under 0.1).</t>
  </si>
  <si>
    <t xml:space="preserve">Date</t>
  </si>
  <si>
    <t xml:space="preserve">Perf Score</t>
  </si>
  <si>
    <t xml:space="preserve">Perf Status</t>
  </si>
  <si>
    <t xml:space="preserve">LCP (s)</t>
  </si>
  <si>
    <t xml:space="preserve">LCP Status</t>
  </si>
  <si>
    <t xml:space="preserve">CLS</t>
  </si>
  <si>
    <t xml:space="preserve">CLS Status</t>
  </si>
  <si>
    <t xml:space="preserve">FCP (s)</t>
  </si>
  <si>
    <t xml:space="preserve">your pull date</t>
  </si>
  <si>
    <t xml:space="preserve">Site-wide</t>
  </si>
  <si>
    <t xml:space="preserve">Product A page</t>
  </si>
  <si>
    <t xml:space="preserve">Pricing page</t>
  </si>
  <si>
    <t xml:space="preserve">AI Search Visibility</t>
  </si>
  <si>
    <t xml:space="preserve">Real AI-assistant referral traffic from GA4, your latest month. Mentions, citations and share of voice need Ahrefs Brand Radar (not yet pulled).</t>
  </si>
  <si>
    <t xml:space="preserve">AI referral traffic by engine (GA4, June MTD)</t>
  </si>
  <si>
    <t xml:space="preserve">Engine</t>
  </si>
  <si>
    <t xml:space="preserve">Share of AI Users</t>
  </si>
  <si>
    <t xml:space="preserve">Latest month</t>
  </si>
  <si>
    <t xml:space="preserve">ChatGPT</t>
  </si>
  <si>
    <t xml:space="preserve">Perplexity</t>
  </si>
  <si>
    <t xml:space="preserve">Gemini</t>
  </si>
  <si>
    <t xml:space="preserve">All AI engines</t>
  </si>
  <si>
    <t xml:space="preserve">Mentions and citations by engine (pull from Ahrefs Brand Radar)</t>
  </si>
  <si>
    <t xml:space="preserve">Mentions</t>
  </si>
  <si>
    <t xml:space="preserve">Citations</t>
  </si>
  <si>
    <t xml:space="preserve">Citation Rate</t>
  </si>
  <si>
    <t xml:space="preserve">Share of Voice</t>
  </si>
  <si>
    <t xml:space="preserve">Source</t>
  </si>
  <si>
    <t xml:space="preserve">Ahrefs Brand Radar</t>
  </si>
  <si>
    <t xml:space="preserve">Total AI referral traffic (June MTD): 198 users, 0 leads. GA4 'AI Assistant' channel: 151 users.</t>
  </si>
  <si>
    <t xml:space="preserve">AI Prompt Coverage</t>
  </si>
  <si>
    <t xml:space="preserve">Buyer-style prompts to test in each engine. The Appearing column is blank on purpose: fill it Yes or No from Ahrefs Brand Radar or manual checks. This is a research checklist, not measured data yet.</t>
  </si>
  <si>
    <t xml:space="preserve">Prompt</t>
  </si>
  <si>
    <t xml:space="preserve">Appearing?</t>
  </si>
  <si>
    <t xml:space="preserve">best product a software</t>
  </si>
  <si>
    <t xml:space="preserve">product b alternatives</t>
  </si>
  <si>
    <t xml:space="preserve">how to choose product c</t>
  </si>
  <si>
    <t xml:space="preserve">Coverage</t>
  </si>
  <si>
    <t xml:space="preserve">Risks &amp; Fixes</t>
  </si>
  <si>
    <t xml:space="preserve">Prioritized by horizon (week, month, quarter) and severity. Filter to plan the week. Every row carries the specific fix.</t>
  </si>
  <si>
    <t xml:space="preserve">Horizon</t>
  </si>
  <si>
    <t xml:space="preserve">Severity</t>
  </si>
  <si>
    <t xml:space="preserve">Issue</t>
  </si>
  <si>
    <t xml:space="preserve">Detail</t>
  </si>
  <si>
    <t xml:space="preserve">Recommended fix</t>
  </si>
  <si>
    <t xml:space="preserve">Now</t>
  </si>
  <si>
    <t xml:space="preserve">High</t>
  </si>
  <si>
    <t xml:space="preserve">Paid traffic not converting</t>
  </si>
  <si>
    <t xml:space="preserve">All</t>
  </si>
  <si>
    <t xml:space="preserve">Paid</t>
  </si>
  <si>
    <t xml:space="preserve">Paid landing pages drive users but produce no tracked form-fill leads.</t>
  </si>
  <si>
    <t xml:space="preserve">Add a tracked form or CTA to each paid landing page and confirm the lead event fires.</t>
  </si>
  <si>
    <t xml:space="preserve">Lead tracking gap</t>
  </si>
  <si>
    <t xml:space="preserve">The qualified-lead key event is not configured, so KPI Monthly leads stay blank.</t>
  </si>
  <si>
    <t xml:space="preserve">Configure your lead key event in GA4, then let it collect data going forward.</t>
  </si>
  <si>
    <t xml:space="preserve">Next</t>
  </si>
  <si>
    <t xml:space="preserve">Medium</t>
  </si>
  <si>
    <t xml:space="preserve">Page speed measured only on the homepage</t>
  </si>
  <si>
    <t xml:space="preserve">Organic</t>
  </si>
  <si>
    <t xml:space="preserve">Only the homepage has Core Web Vitals; product and landing pages are unmeasured.</t>
  </si>
  <si>
    <t xml:space="preserve">Add a free PageSpeed Insights API key and pull per-URL scores for your top pages.</t>
  </si>
  <si>
    <t xml:space="preserve">Geography: by Country</t>
  </si>
  <si>
    <t xml:space="preserve">GA4 Total Users and leads by country, your latest month (countries with 50+ users). Share of users is a formula.</t>
  </si>
  <si>
    <t xml:space="preserve">Country</t>
  </si>
  <si>
    <t xml:space="preserve">Share of Users</t>
  </si>
  <si>
    <t xml:space="preserve">Country 1</t>
  </si>
  <si>
    <t xml:space="preserve">Country 2</t>
  </si>
  <si>
    <t xml:space="preserve">Country 3</t>
  </si>
  <si>
    <t xml:space="preserve">All countries (50+ users)</t>
  </si>
  <si>
    <t xml:space="preserve">Definitions</t>
  </si>
  <si>
    <t xml:space="preserve">Plain-language glossary. The same notes sit on the header cells across the workbook. Hover any header with a red corner to read it.</t>
  </si>
  <si>
    <t xml:space="preserve">Term</t>
  </si>
  <si>
    <t xml:space="preserve">Times an AI answer linked to your page as a source.</t>
  </si>
  <si>
    <t xml:space="preserve">Times an AI answer named your brand, with or without a link.</t>
  </si>
  <si>
    <t xml:space="preserve">AI Referral Sessions</t>
  </si>
  <si>
    <t xml:space="preserve">Visits that arrived from an AI assistant like ChatGPT or Perplexity.</t>
  </si>
  <si>
    <t xml:space="preserve">Average rank in Google search results. Lower is better.</t>
  </si>
  <si>
    <t xml:space="preserve">Avg Session Time</t>
  </si>
  <si>
    <t xml:space="preserve">How long a typical visit lasts on the site, in seconds.</t>
  </si>
  <si>
    <t xml:space="preserve">Blended Leads</t>
  </si>
  <si>
    <t xml:space="preserve">GA4 leads plus on-platform lead-forms GA4 cannot see. One number you can trust.</t>
  </si>
  <si>
    <t xml:space="preserve">Share of visits that leave after one page with no interaction.</t>
  </si>
  <si>
    <t xml:space="preserve">How many times people clicked through to the site.</t>
  </si>
  <si>
    <t xml:space="preserve">Cumulative Layout Shift. How much the page jumps while loading. Under 0.1 is good.</t>
  </si>
  <si>
    <t xml:space="preserve">Share of visits that turned into a lead. Conversions divided by sessions.</t>
  </si>
  <si>
    <t xml:space="preserve">Spend divided by the number of leads. The blended CPL.</t>
  </si>
  <si>
    <t xml:space="preserve">CPC</t>
  </si>
  <si>
    <t xml:space="preserve">Cost per click, blended across Google Ads and LinkedIn.</t>
  </si>
  <si>
    <t xml:space="preserve">CPL</t>
  </si>
  <si>
    <t xml:space="preserve">Cost per lead. Spend divided by the number of leads.</t>
  </si>
  <si>
    <t xml:space="preserve">Cross-network</t>
  </si>
  <si>
    <t xml:space="preserve">Google Performance Max traffic across Search, Display, YouTube, Gmail and Maps.</t>
  </si>
  <si>
    <t xml:space="preserve">Click-through rate. Clicks divided by impressions, as a percentage.</t>
  </si>
  <si>
    <t xml:space="preserve">Domain Rating</t>
  </si>
  <si>
    <t xml:space="preserve">Ahrefs' 0 to 100 score for how strong a site's backlink profile is. Higher is stronger. Your Company sits at 44.</t>
  </si>
  <si>
    <t xml:space="preserve">Share of visits where someone actually interacted, not just bounced.</t>
  </si>
  <si>
    <t xml:space="preserve">How many times your link was shown in search or an ad.</t>
  </si>
  <si>
    <t xml:space="preserve">INP</t>
  </si>
  <si>
    <t xml:space="preserve">Interaction to Next Paint. How fast the page responds to a tap. Under 200ms is good.</t>
  </si>
  <si>
    <t xml:space="preserve">LCP</t>
  </si>
  <si>
    <t xml:space="preserve">Largest Contentful Paint. How fast the main content loads. Under 2.5s is good.</t>
  </si>
  <si>
    <t xml:space="preserve">A visitor who completed a goal action, like a form fill.</t>
  </si>
  <si>
    <t xml:space="preserve">Share of organic clicks from queries that do not contain 'your brand name'. Your real, non-brand demand. The rest is people already searching your name.</t>
  </si>
  <si>
    <t xml:space="preserve">Unpaid visits from search engines, earned through rankings.</t>
  </si>
  <si>
    <t xml:space="preserve">Clicks from unpaid Google search results, via Search Console.</t>
  </si>
  <si>
    <t xml:space="preserve">Click-through rate on organic listings. Clicks divided by impressions.</t>
  </si>
  <si>
    <t xml:space="preserve">Organic Impressions</t>
  </si>
  <si>
    <t xml:space="preserve">Times your pages showed in unpaid search results.</t>
  </si>
  <si>
    <t xml:space="preserve">Paid Conversions</t>
  </si>
  <si>
    <t xml:space="preserve">Conversions as reported by the ad platform. Performance Max can count low-value actions, so these often overstate real leads. Treat them separately from form-fill leads.</t>
  </si>
  <si>
    <t xml:space="preserve">Visits from paid Google search ads, billed per click.</t>
  </si>
  <si>
    <t xml:space="preserve">Paid ads on social. For Your Company this is LinkedIn sponsored content and lead-gen forms.</t>
  </si>
  <si>
    <t xml:space="preserve">Total money spent on Google and LinkedIn ads in the period.</t>
  </si>
  <si>
    <t xml:space="preserve">Performance Score</t>
  </si>
  <si>
    <t xml:space="preserve">Google's 0 to 100 speed grade for the page. 90+ is good.</t>
  </si>
  <si>
    <t xml:space="preserve">Form-fill leads tracked by GA4 (the generate_lead event). This event was set up in June 2026, so months before June are blank, not zero. Use HubSpot for older lead history.</t>
  </si>
  <si>
    <t xml:space="preserve">Quality Score</t>
  </si>
  <si>
    <t xml:space="preserve">A blended 0 to 100 read on how well a page holds and converts visitors.</t>
  </si>
  <si>
    <t xml:space="preserve">Search terms your site currently ranks for.</t>
  </si>
  <si>
    <t xml:space="preserve">Sessions</t>
  </si>
  <si>
    <t xml:space="preserve">A single visit to the site. One person can have several.</t>
  </si>
  <si>
    <t xml:space="preserve">Your slice of all brand mentions in AI answers, versus competitors.</t>
  </si>
  <si>
    <t xml:space="preserve">Striking-distance</t>
  </si>
  <si>
    <t xml:space="preserve">Keywords ranking just off page one (positions 4 to 10) that small fixes can lift.</t>
  </si>
  <si>
    <t xml:space="preserve">Distinct people who visited the site, counted once each.</t>
  </si>
  <si>
    <t xml:space="preserve">Data Sources</t>
  </si>
  <si>
    <t xml:space="preserve">Where every number comes from. Open the link, set the same date range and filters, and you will reconcile to this workbook.</t>
  </si>
  <si>
    <t xml:space="preserve">Tool / system</t>
  </si>
  <si>
    <t xml:space="preserve">Account / property</t>
  </si>
  <si>
    <t xml:space="preserve">What it feeds</t>
  </si>
  <si>
    <t xml:space="preserve">Verify at</t>
  </si>
  <si>
    <t xml:space="preserve">GA4</t>
  </si>
  <si>
    <t xml:space="preserve">Google Analytics 4</t>
  </si>
  <si>
    <t xml:space="preserve">Property &lt;YOUR-GA4-ID&gt;</t>
  </si>
  <si>
    <t xml:space="preserve">Total Users, engagement, leads, conversions, channel + country mix</t>
  </si>
  <si>
    <t xml:space="preserve">Open ↗</t>
  </si>
  <si>
    <t xml:space="preserve">Search Console</t>
  </si>
  <si>
    <t xml:space="preserve">Google Search Console</t>
  </si>
  <si>
    <t xml:space="preserve">&lt;your verified domain property&gt;</t>
  </si>
  <si>
    <t xml:space="preserve">Organic clicks, impressions, CTR, average position, ranking keywords</t>
  </si>
  <si>
    <t xml:space="preserve">Google Ads</t>
  </si>
  <si>
    <t xml:space="preserve">Account &lt;YOUR-GOOGLE-ADS-ID&gt;</t>
  </si>
  <si>
    <t xml:space="preserve">Paid search + Performance Max spend, clicks, impressions, conversions</t>
  </si>
  <si>
    <t xml:space="preserve">LinkedIn Ads</t>
  </si>
  <si>
    <t xml:space="preserve">LinkedIn Campaign Manager</t>
  </si>
  <si>
    <t xml:space="preserve">Account &lt;YOUR-LINKEDIN-ADS-ID&gt;</t>
  </si>
  <si>
    <t xml:space="preserve">Paid social spend, clicks, impressions, lead-gen form fills</t>
  </si>
  <si>
    <t xml:space="preserve">LinkedIn Organic</t>
  </si>
  <si>
    <t xml:space="preserve">LinkedIn Page</t>
  </si>
  <si>
    <t xml:space="preserve">Org &lt;YOUR-LINKEDIN-ORG-ID&gt;</t>
  </si>
  <si>
    <t xml:space="preserve">Organic social reach and engagement</t>
  </si>
  <si>
    <t xml:space="preserve">CRM</t>
  </si>
  <si>
    <t xml:space="preserve">Your CRM (HubSpot, Salesforce, etc.)</t>
  </si>
  <si>
    <t xml:space="preserve">Lead + pipeline source of record</t>
  </si>
  <si>
    <t xml:space="preserve">Reconciled leads, lead quality, deal source tracking</t>
  </si>
  <si>
    <t xml:space="preserve">Ahrefs</t>
  </si>
  <si>
    <t xml:space="preserve">Domain + keyword intelligence</t>
  </si>
  <si>
    <t xml:space="preserve">Keyword rankings, striking-distance terms, domain visibility, backlinks</t>
  </si>
  <si>
    <t xml:space="preserve">PageSpeed</t>
  </si>
  <si>
    <t xml:space="preserve">Google PageSpeed Insights (PSI v5)</t>
  </si>
  <si>
    <t xml:space="preserve">Per-URL mobile audit</t>
  </si>
  <si>
    <t xml:space="preserve">Performance score, LCP, CLS (lab), INP (CrUX field)</t>
  </si>
  <si>
    <t xml:space="preserve">Windsor.ai</t>
  </si>
  <si>
    <t xml:space="preserve">Windsor.ai MCP connector</t>
  </si>
  <si>
    <t xml:space="preserve">Pipes all sources into Claude</t>
  </si>
  <si>
    <t xml:space="preserve">Connector that lets Claude pull every source into this report</t>
  </si>
</sst>
</file>

<file path=xl/styles.xml><?xml version="1.0" encoding="utf-8"?>
<styleSheet xmlns="http://schemas.openxmlformats.org/spreadsheetml/2006/main">
  <numFmts count="14">
    <numFmt numFmtId="164" formatCode="General"/>
    <numFmt numFmtId="165" formatCode="#,##0"/>
    <numFmt numFmtId="166" formatCode="\+0.0%;\-0.0%;0.0%"/>
    <numFmt numFmtId="167" formatCode="0.00%"/>
    <numFmt numFmtId="168" formatCode="0.0%"/>
    <numFmt numFmtId="169" formatCode="\$#,##0"/>
    <numFmt numFmtId="170" formatCode="\$#,##0.0"/>
    <numFmt numFmtId="171" formatCode="0.0"/>
    <numFmt numFmtId="172" formatCode="\+0.00%;\-0.00%;0.00%"/>
    <numFmt numFmtId="173" formatCode="@"/>
    <numFmt numFmtId="174" formatCode="\$#,##0.00"/>
    <numFmt numFmtId="175" formatCode="0"/>
    <numFmt numFmtId="176" formatCode="0.00"/>
    <numFmt numFmtId="177" formatCode="0.000"/>
  </numFmts>
  <fonts count="3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FFFFFF"/>
      <name val="Arial"/>
      <family val="0"/>
      <charset val="1"/>
    </font>
    <font>
      <b val="true"/>
      <sz val="11"/>
      <color rgb="FF00793C"/>
      <name val="Arial"/>
      <family val="0"/>
      <charset val="1"/>
    </font>
    <font>
      <b val="true"/>
      <sz val="10"/>
      <color rgb="FF1F2937"/>
      <name val="Arial"/>
      <family val="0"/>
      <charset val="1"/>
    </font>
    <font>
      <sz val="10"/>
      <color rgb="FF1F2937"/>
      <name val="Arial"/>
      <family val="0"/>
      <charset val="1"/>
    </font>
    <font>
      <b val="true"/>
      <sz val="10"/>
      <color rgb="FF0000FF"/>
      <name val="Arial"/>
      <family val="0"/>
      <charset val="1"/>
    </font>
    <font>
      <b val="true"/>
      <sz val="10"/>
      <color rgb="FF008000"/>
      <name val="Arial"/>
      <family val="0"/>
      <charset val="1"/>
    </font>
    <font>
      <b val="true"/>
      <sz val="10"/>
      <color rgb="FFB7791F"/>
      <name val="Arial"/>
      <family val="0"/>
      <charset val="1"/>
    </font>
    <font>
      <i val="true"/>
      <sz val="9"/>
      <color rgb="FFB7791F"/>
      <name val="Arial"/>
      <family val="0"/>
      <charset val="1"/>
    </font>
    <font>
      <sz val="8"/>
      <color rgb="FFFFFFFF"/>
      <name val="Arial"/>
      <family val="0"/>
      <charset val="1"/>
    </font>
    <font>
      <b val="true"/>
      <sz val="11"/>
      <color rgb="FF1F2937"/>
      <name val="Arial"/>
      <family val="0"/>
      <charset val="1"/>
    </font>
    <font>
      <i val="true"/>
      <sz val="9"/>
      <color rgb="FF6B7280"/>
      <name val="Arial"/>
      <family val="0"/>
      <charset val="1"/>
    </font>
    <font>
      <b val="true"/>
      <sz val="10"/>
      <color rgb="FFFFFFFF"/>
      <name val="Arial"/>
      <family val="0"/>
      <charset val="1"/>
    </font>
    <font>
      <sz val="10"/>
      <color rgb="FF008000"/>
      <name val="Arial"/>
      <family val="0"/>
      <charset val="1"/>
    </font>
    <font>
      <sz val="10"/>
      <color rgb="FF6B7280"/>
      <name val="Arial"/>
      <family val="0"/>
      <charset val="1"/>
    </font>
    <font>
      <sz val="9"/>
      <color rgb="FF1F2937"/>
      <name val="Arial"/>
      <family val="0"/>
      <charset val="1"/>
    </font>
    <font>
      <sz val="10"/>
      <color rgb="FFB7791F"/>
      <name val="Arial"/>
      <family val="0"/>
      <charset val="1"/>
    </font>
    <font>
      <sz val="10"/>
      <color rgb="FF00793C"/>
      <name val="Arial"/>
      <family val="0"/>
      <charset val="1"/>
    </font>
    <font>
      <sz val="10"/>
      <name val="Arial"/>
      <family val="2"/>
    </font>
    <font>
      <b val="true"/>
      <sz val="9"/>
      <color rgb="FFB7791F"/>
      <name val="Arial"/>
      <family val="0"/>
      <charset val="1"/>
    </font>
    <font>
      <sz val="10"/>
      <color rgb="FF0000FF"/>
      <name val="Arial"/>
      <family val="0"/>
      <charset val="1"/>
    </font>
    <font>
      <u val="single"/>
      <sz val="9"/>
      <color rgb="FF008000"/>
      <name val="Arial"/>
      <family val="0"/>
      <charset val="1"/>
    </font>
    <font>
      <sz val="9"/>
      <color rgb="FF00793C"/>
      <name val="Arial"/>
      <family val="0"/>
      <charset val="1"/>
    </font>
    <font>
      <b val="true"/>
      <sz val="9"/>
      <color rgb="FFFFFFFF"/>
      <name val="Arial"/>
      <family val="0"/>
      <charset val="1"/>
    </font>
    <font>
      <sz val="9"/>
      <color rgb="FFB7791F"/>
      <name val="Arial"/>
      <family val="0"/>
      <charset val="1"/>
    </font>
    <font>
      <b val="true"/>
      <sz val="10"/>
      <color rgb="FF00793C"/>
      <name val="Arial"/>
      <family val="0"/>
      <charset val="1"/>
    </font>
    <font>
      <b val="true"/>
      <u val="single"/>
      <sz val="10"/>
      <color rgb="FF008000"/>
      <name val="Arial"/>
      <family val="0"/>
      <charset val="1"/>
    </font>
    <font>
      <sz val="12"/>
      <color theme="10"/>
      <name val="Calibri"/>
      <family val="2"/>
      <charset val="1"/>
    </font>
  </fonts>
  <fills count="7">
    <fill>
      <patternFill patternType="none"/>
    </fill>
    <fill>
      <patternFill patternType="gray125"/>
    </fill>
    <fill>
      <patternFill patternType="solid">
        <fgColor rgb="FF00793C"/>
        <bgColor rgb="FF008000"/>
      </patternFill>
    </fill>
    <fill>
      <patternFill patternType="solid">
        <fgColor rgb="FF00A651"/>
        <bgColor rgb="FF008080"/>
      </patternFill>
    </fill>
    <fill>
      <patternFill patternType="solid">
        <fgColor rgb="FFE8F6EE"/>
        <bgColor rgb="FFEEF1F4"/>
      </patternFill>
    </fill>
    <fill>
      <patternFill patternType="solid">
        <fgColor rgb="FFFFF7CC"/>
        <bgColor rgb="FFFFF3D6"/>
      </patternFill>
    </fill>
    <fill>
      <patternFill patternType="solid">
        <fgColor rgb="FFF4FBF7"/>
        <bgColor rgb="FFFFFFFF"/>
      </patternFill>
    </fill>
  </fills>
  <borders count="3">
    <border diagonalUp="false" diagonalDown="false">
      <left/>
      <right/>
      <top/>
      <bottom/>
      <diagonal/>
    </border>
    <border diagonalUp="false" diagonalDown="false">
      <left style="thin">
        <color rgb="FFD7E5DC"/>
      </left>
      <right style="thin">
        <color rgb="FFD7E5DC"/>
      </right>
      <top style="thin">
        <color rgb="FFD7E5DC"/>
      </top>
      <bottom style="thin">
        <color rgb="FFD7E5DC"/>
      </bottom>
      <diagonal/>
    </border>
    <border diagonalUp="false" diagonalDown="false">
      <left style="thin">
        <color rgb="FF00A651"/>
      </left>
      <right style="thin">
        <color rgb="FF00A651"/>
      </right>
      <top style="thin">
        <color rgb="FF00A651"/>
      </top>
      <bottom style="thin">
        <color rgb="FF00A651"/>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1" fillId="0" borderId="0" applyFont="true" applyBorder="true" applyAlignment="true" applyProtection="true">
      <alignment horizontal="general" vertical="bottom" textRotation="0" wrapText="false" indent="0" shrinkToFit="false"/>
      <protection locked="true" hidden="false"/>
    </xf>
  </cellStyleXfs>
  <cellXfs count="1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5" fontId="17" fillId="0"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5" fontId="10" fillId="6" borderId="1" xfId="0" applyFont="true" applyBorder="true" applyAlignment="true" applyProtection="false">
      <alignment horizontal="right" vertical="center" textRotation="0" wrapText="false" indent="0" shrinkToFit="false"/>
      <protection locked="true" hidden="false"/>
    </xf>
    <xf numFmtId="165" fontId="17" fillId="6" borderId="1" xfId="0" applyFont="true" applyBorder="true" applyAlignment="true" applyProtection="false">
      <alignment horizontal="right" vertical="center" textRotation="0" wrapText="false" indent="0" shrinkToFit="false"/>
      <protection locked="true" hidden="false"/>
    </xf>
    <xf numFmtId="166" fontId="8" fillId="6" borderId="1" xfId="0" applyFont="true" applyBorder="true" applyAlignment="true" applyProtection="false">
      <alignment horizontal="right"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9" fillId="6" borderId="1" xfId="0" applyFont="true" applyBorder="true" applyAlignment="true" applyProtection="false">
      <alignment horizontal="left" vertical="top" textRotation="0" wrapText="tru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7" fontId="17" fillId="0" borderId="1" xfId="0" applyFont="true" applyBorder="true" applyAlignment="true" applyProtection="false">
      <alignment horizontal="right" vertical="center" textRotation="0" wrapText="false" indent="0" shrinkToFit="false"/>
      <protection locked="true" hidden="false"/>
    </xf>
    <xf numFmtId="168" fontId="10" fillId="6" borderId="1" xfId="0" applyFont="true" applyBorder="true" applyAlignment="true" applyProtection="false">
      <alignment horizontal="right" vertical="center" textRotation="0" wrapText="false" indent="0" shrinkToFit="false"/>
      <protection locked="true" hidden="false"/>
    </xf>
    <xf numFmtId="168" fontId="17" fillId="6" borderId="1" xfId="0" applyFont="true" applyBorder="true" applyAlignment="true" applyProtection="false">
      <alignment horizontal="right" vertical="center" textRotation="0" wrapText="false" indent="0" shrinkToFit="false"/>
      <protection locked="true" hidden="false"/>
    </xf>
    <xf numFmtId="168" fontId="20" fillId="5"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8" fontId="17" fillId="0" borderId="1" xfId="0" applyFont="true" applyBorder="true" applyAlignment="true" applyProtection="false">
      <alignment horizontal="right" vertical="center" textRotation="0" wrapText="false" indent="0" shrinkToFit="false"/>
      <protection locked="true" hidden="false"/>
    </xf>
    <xf numFmtId="169" fontId="10" fillId="6" borderId="1" xfId="0" applyFont="true" applyBorder="true" applyAlignment="true" applyProtection="false">
      <alignment horizontal="right" vertical="center" textRotation="0" wrapText="false" indent="0" shrinkToFit="false"/>
      <protection locked="true" hidden="false"/>
    </xf>
    <xf numFmtId="169" fontId="17" fillId="6" borderId="1" xfId="0" applyFont="true" applyBorder="true" applyAlignment="true" applyProtection="false">
      <alignment horizontal="right" vertical="center" textRotation="0" wrapText="false" indent="0" shrinkToFit="false"/>
      <protection locked="true" hidden="false"/>
    </xf>
    <xf numFmtId="170" fontId="10" fillId="0" borderId="1" xfId="0" applyFont="true" applyBorder="true" applyAlignment="true" applyProtection="false">
      <alignment horizontal="right" vertical="center" textRotation="0" wrapText="false" indent="0" shrinkToFit="false"/>
      <protection locked="true" hidden="false"/>
    </xf>
    <xf numFmtId="170" fontId="17" fillId="0" borderId="1" xfId="0" applyFont="true" applyBorder="true" applyAlignment="true" applyProtection="false">
      <alignment horizontal="right" vertical="center" textRotation="0" wrapText="false" indent="0" shrinkToFit="false"/>
      <protection locked="true" hidden="false"/>
    </xf>
    <xf numFmtId="170" fontId="20" fillId="5" borderId="1" xfId="0" applyFont="true" applyBorder="true" applyAlignment="true" applyProtection="false">
      <alignment horizontal="right" vertical="center" textRotation="0" wrapText="false" indent="0" shrinkToFit="false"/>
      <protection locked="true" hidden="false"/>
    </xf>
    <xf numFmtId="167" fontId="20" fillId="5" borderId="1" xfId="0" applyFont="true" applyBorder="true" applyAlignment="true" applyProtection="false">
      <alignment horizontal="right" vertical="center" textRotation="0" wrapText="false" indent="0" shrinkToFit="false"/>
      <protection locked="true" hidden="false"/>
    </xf>
    <xf numFmtId="171" fontId="10" fillId="6" borderId="1" xfId="0" applyFont="true" applyBorder="true" applyAlignment="true" applyProtection="false">
      <alignment horizontal="right" vertical="center" textRotation="0" wrapText="false" indent="0" shrinkToFit="false"/>
      <protection locked="true" hidden="false"/>
    </xf>
    <xf numFmtId="171" fontId="17" fillId="6" borderId="1" xfId="0" applyFont="true" applyBorder="true" applyAlignment="true" applyProtection="false">
      <alignment horizontal="right"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21" fillId="4" borderId="2"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5" fontId="24" fillId="0" borderId="1" xfId="0" applyFont="true" applyBorder="true" applyAlignment="true" applyProtection="false">
      <alignment horizontal="right" vertical="center" textRotation="0" wrapText="false" indent="0" shrinkToFit="false"/>
      <protection locked="true" hidden="false"/>
    </xf>
    <xf numFmtId="168" fontId="24" fillId="0" borderId="1" xfId="0" applyFont="true" applyBorder="true" applyAlignment="true" applyProtection="false">
      <alignment horizontal="right" vertical="center" textRotation="0" wrapText="false" indent="0" shrinkToFit="false"/>
      <protection locked="true" hidden="false"/>
    </xf>
    <xf numFmtId="167" fontId="8" fillId="0" borderId="1" xfId="0" applyFont="true" applyBorder="true" applyAlignment="true" applyProtection="false">
      <alignment horizontal="right" vertical="center" textRotation="0" wrapText="false" indent="0" shrinkToFit="false"/>
      <protection locked="true" hidden="false"/>
    </xf>
    <xf numFmtId="169" fontId="24" fillId="0" borderId="1" xfId="0" applyFont="true" applyBorder="true" applyAlignment="true" applyProtection="false">
      <alignment horizontal="right" vertical="center" textRotation="0" wrapText="false" indent="0" shrinkToFit="false"/>
      <protection locked="true" hidden="false"/>
    </xf>
    <xf numFmtId="170" fontId="8" fillId="0" borderId="1" xfId="0" applyFont="true" applyBorder="true" applyAlignment="true" applyProtection="false">
      <alignment horizontal="right" vertical="center" textRotation="0" wrapText="false" indent="0" shrinkToFit="false"/>
      <protection locked="true" hidden="false"/>
    </xf>
    <xf numFmtId="171" fontId="24" fillId="0" borderId="1" xfId="0" applyFont="true" applyBorder="true" applyAlignment="true" applyProtection="false">
      <alignment horizontal="righ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23" fillId="6" borderId="1" xfId="0" applyFont="true" applyBorder="true" applyAlignment="true" applyProtection="false">
      <alignment horizontal="center" vertical="center" textRotation="0" wrapText="true" indent="0" shrinkToFit="false"/>
      <protection locked="true" hidden="false"/>
    </xf>
    <xf numFmtId="165" fontId="24" fillId="6" borderId="1" xfId="0" applyFont="true" applyBorder="true" applyAlignment="true" applyProtection="false">
      <alignment horizontal="right" vertical="center" textRotation="0" wrapText="false" indent="0" shrinkToFit="false"/>
      <protection locked="true" hidden="false"/>
    </xf>
    <xf numFmtId="168" fontId="24" fillId="6" borderId="1" xfId="0" applyFont="true" applyBorder="true" applyAlignment="true" applyProtection="false">
      <alignment horizontal="right" vertical="center" textRotation="0" wrapText="false" indent="0" shrinkToFit="false"/>
      <protection locked="true" hidden="false"/>
    </xf>
    <xf numFmtId="167" fontId="8" fillId="6" borderId="1" xfId="0" applyFont="true" applyBorder="true" applyAlignment="true" applyProtection="false">
      <alignment horizontal="right" vertical="center" textRotation="0" wrapText="false" indent="0" shrinkToFit="false"/>
      <protection locked="true" hidden="false"/>
    </xf>
    <xf numFmtId="169" fontId="24" fillId="6" borderId="1" xfId="0" applyFont="true" applyBorder="true" applyAlignment="true" applyProtection="false">
      <alignment horizontal="right" vertical="center" textRotation="0" wrapText="false" indent="0" shrinkToFit="false"/>
      <protection locked="true" hidden="false"/>
    </xf>
    <xf numFmtId="170" fontId="8" fillId="6" borderId="1" xfId="0" applyFont="true" applyBorder="true" applyAlignment="true" applyProtection="false">
      <alignment horizontal="right" vertical="center" textRotation="0" wrapText="false" indent="0" shrinkToFit="false"/>
      <protection locked="true" hidden="false"/>
    </xf>
    <xf numFmtId="171" fontId="24" fillId="6"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72" fontId="8" fillId="0" borderId="1" xfId="0" applyFont="true" applyBorder="true" applyAlignment="true" applyProtection="false">
      <alignment horizontal="right"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72" fontId="8" fillId="6" borderId="1" xfId="0" applyFont="true" applyBorder="true" applyAlignment="true" applyProtection="false">
      <alignment horizontal="righ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8" fontId="8" fillId="0" borderId="1" xfId="0" applyFont="true" applyBorder="true" applyAlignment="true" applyProtection="false">
      <alignment horizontal="right" vertical="center" textRotation="0" wrapText="false" indent="0" shrinkToFit="false"/>
      <protection locked="true" hidden="false"/>
    </xf>
    <xf numFmtId="169" fontId="8" fillId="0" borderId="1" xfId="0" applyFont="true" applyBorder="true" applyAlignment="true" applyProtection="false">
      <alignment horizontal="right" vertical="center" textRotation="0" wrapText="false" indent="0" shrinkToFit="false"/>
      <protection locked="true" hidden="false"/>
    </xf>
    <xf numFmtId="165" fontId="8" fillId="6" borderId="1" xfId="0" applyFont="true" applyBorder="true" applyAlignment="true" applyProtection="false">
      <alignment horizontal="right" vertical="center" textRotation="0" wrapText="false" indent="0" shrinkToFit="false"/>
      <protection locked="true" hidden="false"/>
    </xf>
    <xf numFmtId="168" fontId="8" fillId="6" borderId="1" xfId="0" applyFont="true" applyBorder="true" applyAlignment="true" applyProtection="false">
      <alignment horizontal="right" vertical="center" textRotation="0" wrapText="false" indent="0" shrinkToFit="false"/>
      <protection locked="true" hidden="false"/>
    </xf>
    <xf numFmtId="169" fontId="8" fillId="6" borderId="1" xfId="0" applyFont="true" applyBorder="true" applyAlignment="true" applyProtection="false">
      <alignment horizontal="right" vertical="center" textRotation="0" wrapText="false" indent="0" shrinkToFit="false"/>
      <protection locked="true" hidden="false"/>
    </xf>
    <xf numFmtId="164" fontId="16" fillId="2" borderId="1" xfId="0" applyFont="true" applyBorder="true" applyAlignment="true" applyProtection="false">
      <alignment horizontal="center" vertical="center" textRotation="0" wrapText="true" indent="0" shrinkToFit="false"/>
      <protection locked="true" hidden="false"/>
    </xf>
    <xf numFmtId="173" fontId="25" fillId="0" borderId="1" xfId="0" applyFont="true" applyBorder="true" applyAlignment="true" applyProtection="false">
      <alignment horizontal="left" vertical="center" textRotation="0" wrapText="true" indent="0" shrinkToFit="false"/>
      <protection locked="true" hidden="false"/>
    </xf>
    <xf numFmtId="173" fontId="8" fillId="0" borderId="1" xfId="0" applyFont="true" applyBorder="true" applyAlignment="true" applyProtection="false">
      <alignment horizontal="center" vertical="center" textRotation="0" wrapText="true" indent="0" shrinkToFit="false"/>
      <protection locked="true" hidden="false"/>
    </xf>
    <xf numFmtId="171" fontId="8" fillId="0" borderId="1" xfId="0" applyFont="true" applyBorder="true" applyAlignment="true" applyProtection="false">
      <alignment horizontal="right" vertical="center" textRotation="0" wrapText="false" indent="0" shrinkToFit="false"/>
      <protection locked="true" hidden="false"/>
    </xf>
    <xf numFmtId="173" fontId="25" fillId="6" borderId="1" xfId="0" applyFont="true" applyBorder="true" applyAlignment="true" applyProtection="false">
      <alignment horizontal="left" vertical="center" textRotation="0" wrapText="true" indent="0" shrinkToFit="false"/>
      <protection locked="true" hidden="false"/>
    </xf>
    <xf numFmtId="173" fontId="8" fillId="6" borderId="1" xfId="0" applyFont="true" applyBorder="true" applyAlignment="true" applyProtection="false">
      <alignment horizontal="center" vertical="center" textRotation="0" wrapText="true" indent="0" shrinkToFit="false"/>
      <protection locked="true" hidden="false"/>
    </xf>
    <xf numFmtId="171" fontId="8" fillId="6" borderId="1" xfId="0" applyFont="true" applyBorder="true" applyAlignment="true" applyProtection="false">
      <alignment horizontal="right" vertical="center" textRotation="0" wrapText="false" indent="0" shrinkToFit="false"/>
      <protection locked="true" hidden="false"/>
    </xf>
    <xf numFmtId="173" fontId="16" fillId="2" borderId="1" xfId="0" applyFont="true" applyBorder="true" applyAlignment="true" applyProtection="false">
      <alignment horizontal="left" vertical="center" textRotation="0" wrapText="true" indent="0" shrinkToFit="false"/>
      <protection locked="true" hidden="false"/>
    </xf>
    <xf numFmtId="165" fontId="16" fillId="2" borderId="1" xfId="0" applyFont="true" applyBorder="true" applyAlignment="true" applyProtection="false">
      <alignment horizontal="right" vertical="center" textRotation="0" wrapText="false" indent="0" shrinkToFit="false"/>
      <protection locked="true" hidden="false"/>
    </xf>
    <xf numFmtId="168" fontId="16" fillId="2" borderId="1" xfId="0" applyFont="true" applyBorder="true" applyAlignment="true" applyProtection="false">
      <alignment horizontal="right" vertical="center" textRotation="0" wrapText="false" indent="0" shrinkToFit="false"/>
      <protection locked="true" hidden="false"/>
    </xf>
    <xf numFmtId="167" fontId="16" fillId="2" borderId="1" xfId="0" applyFont="true" applyBorder="true" applyAlignment="true" applyProtection="false">
      <alignment horizontal="right" vertical="center" textRotation="0" wrapText="false" indent="0" shrinkToFit="false"/>
      <protection locked="true" hidden="false"/>
    </xf>
    <xf numFmtId="171" fontId="16" fillId="2" borderId="1" xfId="0" applyFont="true" applyBorder="true" applyAlignment="true" applyProtection="false">
      <alignment horizontal="right" vertical="center" textRotation="0" wrapText="false" indent="0" shrinkToFit="false"/>
      <protection locked="true" hidden="false"/>
    </xf>
    <xf numFmtId="164" fontId="26" fillId="4" borderId="2" xfId="0" applyFont="true" applyBorder="true" applyAlignment="true" applyProtection="false">
      <alignment horizontal="left" vertical="top" textRotation="0" wrapText="true" indent="0" shrinkToFit="false"/>
      <protection locked="true" hidden="false"/>
    </xf>
    <xf numFmtId="164" fontId="27" fillId="2" borderId="1" xfId="0" applyFont="true" applyBorder="tru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left" vertical="center" textRotation="0" wrapText="true" indent="0" shrinkToFit="false"/>
      <protection locked="true" hidden="false"/>
    </xf>
    <xf numFmtId="173" fontId="8" fillId="0" borderId="1" xfId="0" applyFont="true" applyBorder="true" applyAlignment="true" applyProtection="false">
      <alignment horizontal="left" vertical="center" textRotation="0" wrapText="true" indent="0" shrinkToFit="false"/>
      <protection locked="true" hidden="false"/>
    </xf>
    <xf numFmtId="174" fontId="8" fillId="0" borderId="1" xfId="0" applyFont="true" applyBorder="true" applyAlignment="true" applyProtection="false">
      <alignment horizontal="right" vertical="center" textRotation="0" wrapText="false" indent="0" shrinkToFit="false"/>
      <protection locked="true" hidden="false"/>
    </xf>
    <xf numFmtId="173" fontId="8" fillId="6" borderId="1" xfId="0" applyFont="true" applyBorder="true" applyAlignment="true" applyProtection="false">
      <alignment horizontal="left" vertical="center" textRotation="0" wrapText="true" indent="0" shrinkToFit="false"/>
      <protection locked="true" hidden="false"/>
    </xf>
    <xf numFmtId="174" fontId="8" fillId="6" borderId="1" xfId="0" applyFont="true" applyBorder="true" applyAlignment="true" applyProtection="false">
      <alignment horizontal="right" vertical="center" textRotation="0" wrapText="false" indent="0" shrinkToFit="false"/>
      <protection locked="true" hidden="false"/>
    </xf>
    <xf numFmtId="173" fontId="16" fillId="2" borderId="1" xfId="0" applyFont="true" applyBorder="true" applyAlignment="true" applyProtection="false">
      <alignment horizontal="right" vertical="center" textRotation="0" wrapText="false" indent="0" shrinkToFit="false"/>
      <protection locked="true" hidden="false"/>
    </xf>
    <xf numFmtId="169" fontId="16" fillId="2" borderId="1" xfId="0" applyFont="true" applyBorder="true" applyAlignment="true" applyProtection="false">
      <alignment horizontal="right" vertical="center" textRotation="0" wrapText="false" indent="0" shrinkToFit="false"/>
      <protection locked="true" hidden="false"/>
    </xf>
    <xf numFmtId="174" fontId="16" fillId="2" borderId="1" xfId="0" applyFont="true" applyBorder="true" applyAlignment="true" applyProtection="false">
      <alignment horizontal="right" vertical="center" textRotation="0" wrapText="false" indent="0" shrinkToFit="false"/>
      <protection locked="true" hidden="false"/>
    </xf>
    <xf numFmtId="164" fontId="28" fillId="5" borderId="2" xfId="0" applyFont="true" applyBorder="true" applyAlignment="true" applyProtection="false">
      <alignment horizontal="left" vertical="top" textRotation="0" wrapText="true" indent="0" shrinkToFit="false"/>
      <protection locked="true" hidden="false"/>
    </xf>
    <xf numFmtId="173" fontId="8" fillId="0" borderId="1" xfId="0" applyFont="true" applyBorder="true" applyAlignment="true" applyProtection="false">
      <alignment horizontal="right" vertical="center" textRotation="0" wrapText="false" indent="0" shrinkToFit="false"/>
      <protection locked="true" hidden="false"/>
    </xf>
    <xf numFmtId="173" fontId="8" fillId="6" borderId="1" xfId="0" applyFont="true" applyBorder="true" applyAlignment="true" applyProtection="false">
      <alignment horizontal="right" vertical="center" textRotation="0" wrapText="false" indent="0" shrinkToFit="false"/>
      <protection locked="true" hidden="false"/>
    </xf>
    <xf numFmtId="175" fontId="8" fillId="0" borderId="1" xfId="0" applyFont="true" applyBorder="true" applyAlignment="true" applyProtection="false">
      <alignment horizontal="right" vertical="center" textRotation="0" wrapText="false" indent="0" shrinkToFit="false"/>
      <protection locked="true" hidden="false"/>
    </xf>
    <xf numFmtId="176" fontId="8" fillId="0" borderId="1" xfId="0" applyFont="true" applyBorder="true" applyAlignment="true" applyProtection="false">
      <alignment horizontal="right" vertical="center" textRotation="0" wrapText="false" indent="0" shrinkToFit="false"/>
      <protection locked="true" hidden="false"/>
    </xf>
    <xf numFmtId="177" fontId="8" fillId="0" borderId="1" xfId="0" applyFont="true" applyBorder="true" applyAlignment="true" applyProtection="false">
      <alignment horizontal="right" vertical="center" textRotation="0" wrapText="false" indent="0" shrinkToFit="false"/>
      <protection locked="true" hidden="false"/>
    </xf>
    <xf numFmtId="175" fontId="8" fillId="6" borderId="1" xfId="0" applyFont="true" applyBorder="true" applyAlignment="true" applyProtection="false">
      <alignment horizontal="right" vertical="center" textRotation="0" wrapText="false" indent="0" shrinkToFit="false"/>
      <protection locked="true" hidden="false"/>
    </xf>
    <xf numFmtId="176" fontId="8" fillId="6" borderId="1" xfId="0" applyFont="true" applyBorder="true" applyAlignment="true" applyProtection="false">
      <alignment horizontal="right" vertical="center" textRotation="0" wrapText="false" indent="0" shrinkToFit="false"/>
      <protection locked="true" hidden="false"/>
    </xf>
    <xf numFmtId="177" fontId="8" fillId="6" borderId="1" xfId="0" applyFont="true" applyBorder="true" applyAlignment="true" applyProtection="false">
      <alignment horizontal="right" vertical="center" textRotation="0" wrapText="false" indent="0" shrinkToFit="false"/>
      <protection locked="true" hidden="false"/>
    </xf>
    <xf numFmtId="165" fontId="18" fillId="0" borderId="1" xfId="0" applyFont="true" applyBorder="true" applyAlignment="true" applyProtection="false">
      <alignment horizontal="right" vertical="center" textRotation="0" wrapText="false" indent="0" shrinkToFit="false"/>
      <protection locked="true" hidden="false"/>
    </xf>
    <xf numFmtId="168" fontId="18" fillId="0" borderId="1" xfId="0" applyFont="true" applyBorder="true" applyAlignment="true" applyProtection="false">
      <alignment horizontal="right" vertical="center" textRotation="0" wrapText="false" indent="0" shrinkToFit="false"/>
      <protection locked="true" hidden="false"/>
    </xf>
    <xf numFmtId="173" fontId="18" fillId="0" borderId="1" xfId="0" applyFont="true" applyBorder="true" applyAlignment="true" applyProtection="false">
      <alignment horizontal="left" vertical="center" textRotation="0" wrapText="true" indent="0" shrinkToFit="false"/>
      <protection locked="true" hidden="false"/>
    </xf>
    <xf numFmtId="165" fontId="18" fillId="6" borderId="1" xfId="0" applyFont="true" applyBorder="true" applyAlignment="true" applyProtection="false">
      <alignment horizontal="right" vertical="center" textRotation="0" wrapText="false" indent="0" shrinkToFit="false"/>
      <protection locked="true" hidden="false"/>
    </xf>
    <xf numFmtId="168" fontId="18" fillId="6" borderId="1" xfId="0" applyFont="true" applyBorder="true" applyAlignment="true" applyProtection="false">
      <alignment horizontal="right" vertical="center" textRotation="0" wrapText="false" indent="0" shrinkToFit="false"/>
      <protection locked="true" hidden="false"/>
    </xf>
    <xf numFmtId="173" fontId="18" fillId="6" borderId="1" xfId="0" applyFont="true" applyBorder="true" applyAlignment="true" applyProtection="false">
      <alignment horizontal="left" vertical="center" textRotation="0" wrapText="true" indent="0" shrinkToFit="false"/>
      <protection locked="true" hidden="false"/>
    </xf>
    <xf numFmtId="164" fontId="29" fillId="4" borderId="0" xfId="0" applyFont="true" applyBorder="true" applyAlignment="true" applyProtection="false">
      <alignment horizontal="left" vertical="center"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3" fontId="8" fillId="0" borderId="1" xfId="0" applyFont="true" applyBorder="true" applyAlignment="true" applyProtection="false">
      <alignment horizontal="left" vertical="top" textRotation="0" wrapText="true" indent="0" shrinkToFit="false"/>
      <protection locked="true" hidden="false"/>
    </xf>
    <xf numFmtId="173" fontId="8" fillId="6" borderId="1" xfId="0" applyFont="true" applyBorder="true" applyAlignment="true" applyProtection="false">
      <alignment horizontal="left" vertical="top" textRotation="0" wrapText="true" indent="0" shrinkToFit="false"/>
      <protection locked="true" hidden="false"/>
    </xf>
    <xf numFmtId="164" fontId="29" fillId="0" borderId="1" xfId="0" applyFont="true" applyBorder="true" applyAlignment="true" applyProtection="false">
      <alignment horizontal="left" vertical="top" textRotation="0" wrapText="true" indent="0" shrinkToFit="false"/>
      <protection locked="true" hidden="false"/>
    </xf>
    <xf numFmtId="164" fontId="29"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29" fillId="0" borderId="1" xfId="0" applyFont="true" applyBorder="true" applyAlignment="true" applyProtection="false">
      <alignment horizontal="left" vertical="center" textRotation="0" wrapText="true" indent="0" shrinkToFit="false"/>
      <protection locked="true" hidden="false"/>
    </xf>
    <xf numFmtId="164" fontId="30" fillId="0" borderId="1" xfId="20" applyFont="true" applyBorder="true" applyAlignment="true" applyProtection="false">
      <alignment horizontal="left" vertical="center" textRotation="0" wrapText="true" indent="0" shrinkToFit="false"/>
      <protection locked="true" hidden="false"/>
    </xf>
    <xf numFmtId="164" fontId="29" fillId="6" borderId="1" xfId="0" applyFont="true" applyBorder="true" applyAlignment="true" applyProtection="false">
      <alignment horizontal="left"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22">
    <dxf>
      <font>
        <name val="Arial"/>
        <charset val="1"/>
        <family val="0"/>
        <b val="1"/>
        <color rgb="FFC00000"/>
      </font>
      <fill>
        <patternFill>
          <bgColor rgb="FFFBE3E3"/>
        </patternFill>
      </fill>
    </dxf>
    <dxf>
      <font>
        <name val="Arial"/>
        <charset val="1"/>
        <family val="0"/>
        <b val="1"/>
        <color rgb="FFB7791F"/>
      </font>
      <fill>
        <patternFill>
          <bgColor rgb="FFFFF3D6"/>
        </patternFill>
      </fill>
    </dxf>
    <dxf>
      <font>
        <name val="Arial"/>
        <charset val="1"/>
        <family val="0"/>
        <b val="1"/>
        <color rgb="FF00793C"/>
      </font>
      <fill>
        <patternFill>
          <bgColor rgb="FFDCF3E4"/>
        </patternFill>
      </fill>
    </dxf>
    <dxf>
      <fill>
        <patternFill patternType="solid">
          <fgColor rgb="FF00A651"/>
          <bgColor rgb="FF000000"/>
        </patternFill>
      </fill>
    </dxf>
    <dxf>
      <fill>
        <patternFill patternType="solid">
          <fgColor rgb="FFF4FBF7"/>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B7791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00793C"/>
          <bgColor rgb="FF000000"/>
        </patternFill>
      </fill>
    </dxf>
    <dxf>
      <fill>
        <patternFill patternType="solid">
          <fgColor rgb="FFC00000"/>
          <bgColor rgb="FF000000"/>
        </patternFill>
      </fill>
    </dxf>
    <dxf>
      <font>
        <name val="Arial"/>
        <charset val="1"/>
        <family val="0"/>
        <color rgb="FF00793C"/>
      </font>
    </dxf>
    <dxf>
      <font>
        <name val="Arial"/>
        <charset val="1"/>
        <family val="0"/>
        <color rgb="FFC00000"/>
      </font>
    </dxf>
    <dxf>
      <fill>
        <patternFill patternType="solid">
          <fgColor rgb="FFFBE3E3"/>
          <bgColor rgb="FF000000"/>
        </patternFill>
      </fill>
    </dxf>
    <dxf>
      <fill>
        <patternFill patternType="solid">
          <fgColor rgb="FFFFF3D6"/>
          <bgColor rgb="FF000000"/>
        </patternFill>
      </fill>
    </dxf>
    <dxf>
      <fill>
        <patternFill patternType="solid">
          <fgColor rgb="FFEEF1F4"/>
          <bgColor rgb="FF000000"/>
        </patternFill>
      </fill>
    </dxf>
    <dxf>
      <fill>
        <patternFill patternType="solid">
          <fgColor rgb="FF6B7280"/>
          <bgColor rgb="FF000000"/>
        </patternFill>
      </fill>
    </dxf>
    <dxf>
      <fill>
        <patternFill patternType="solid">
          <fgColor rgb="FFDCF3E4"/>
          <bgColor rgb="FF000000"/>
        </patternFill>
      </fill>
    </dxf>
    <dxf>
      <font>
        <name val="Arial"/>
        <charset val="1"/>
        <family val="0"/>
        <b val="1"/>
        <color rgb="FF6B7280"/>
      </font>
      <fill>
        <patternFill>
          <bgColor rgb="FFEEF1F4"/>
        </patternFill>
      </fill>
    </dxf>
    <dxf>
      <font>
        <name val="Arial"/>
        <charset val="1"/>
        <family val="0"/>
        <b val="1"/>
        <color rgb="FF6B7280"/>
      </font>
      <fill>
        <patternFill>
          <bgColor rgb="FFE9EEF2"/>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B7791F"/>
      <rgbColor rgb="FF800080"/>
      <rgbColor rgb="FF00793C"/>
      <rgbColor rgb="FFEEF1F4"/>
      <rgbColor rgb="FF808080"/>
      <rgbColor rgb="FF9999FF"/>
      <rgbColor rgb="FF993366"/>
      <rgbColor rgb="FFFFF7CC"/>
      <rgbColor rgb="FFE8F6EE"/>
      <rgbColor rgb="FF660066"/>
      <rgbColor rgb="FFFF8080"/>
      <rgbColor rgb="FF0066CC"/>
      <rgbColor rgb="FFD7E5DC"/>
      <rgbColor rgb="FF000080"/>
      <rgbColor rgb="FFFF00FF"/>
      <rgbColor rgb="FFFFFF00"/>
      <rgbColor rgb="FF00FFFF"/>
      <rgbColor rgb="FF800080"/>
      <rgbColor rgb="FF800000"/>
      <rgbColor rgb="FF008080"/>
      <rgbColor rgb="FF0000FF"/>
      <rgbColor rgb="FF00CCFF"/>
      <rgbColor rgb="FFE9EEF2"/>
      <rgbColor rgb="FFDCF3E4"/>
      <rgbColor rgb="FFFFF3D6"/>
      <rgbColor rgb="FFF4FBF7"/>
      <rgbColor rgb="FFFF99CC"/>
      <rgbColor rgb="FFCC99FF"/>
      <rgbColor rgb="FFFBE3E3"/>
      <rgbColor rgb="FF3366FF"/>
      <rgbColor rgb="FF33CCCC"/>
      <rgbColor rgb="FF99CC00"/>
      <rgbColor rgb="FFFFCC00"/>
      <rgbColor rgb="FFFF9900"/>
      <rgbColor rgb="FFFF6600"/>
      <rgbColor rgb="FF6B7280"/>
      <rgbColor rgb="FF969696"/>
      <rgbColor rgb="FF003366"/>
      <rgbColor rgb="FF00A651"/>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yourdomain.com/" TargetMode="External"/><Relationship Id="rId3" Type="http://schemas.openxmlformats.org/officeDocument/2006/relationships/hyperlink" Target="https://yourdomain.com/product-a" TargetMode="External"/><Relationship Id="rId4" Type="http://schemas.openxmlformats.org/officeDocument/2006/relationships/hyperlink" Target="https://yourdomain.com/pricing" TargetMode="External"/><Relationship Id="rId5" Type="http://schemas.openxmlformats.org/officeDocument/2006/relationships/hyperlink" Target="https://yourdomain.com/blog/example-post" TargetMode="External"/><Relationship Id="rId6" Type="http://schemas.openxmlformats.org/officeDocument/2006/relationships/hyperlink" Target="https://yourdomain.com/product-a-thank-you" TargetMode="External"/><Relationship Id="rId7" Type="http://schemas.openxmlformats.org/officeDocument/2006/relationships/drawing" Target="../drawings/drawing3.xml"/><Relationship Id="rId8"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4.xml"/><Relationship Id="rId3"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yourdomain.com/" TargetMode="External"/><Relationship Id="rId3" Type="http://schemas.openxmlformats.org/officeDocument/2006/relationships/hyperlink" Target="https://yourdomain.com/product-a" TargetMode="External"/><Relationship Id="rId4" Type="http://schemas.openxmlformats.org/officeDocument/2006/relationships/hyperlink" Target="https://yourdomain.com/product-b" TargetMode="External"/><Relationship Id="rId5" Type="http://schemas.openxmlformats.org/officeDocument/2006/relationships/hyperlink" Target="https://yourdomain.com/product-c" TargetMode="External"/><Relationship Id="rId6" Type="http://schemas.openxmlformats.org/officeDocument/2006/relationships/hyperlink" Target="https://yourdomain.com/pricing" TargetMode="External"/><Relationship Id="rId7" Type="http://schemas.openxmlformats.org/officeDocument/2006/relationships/drawing" Target="../drawings/drawing5.xml"/><Relationship Id="rId8" Type="http://schemas.openxmlformats.org/officeDocument/2006/relationships/vmlDrawing" Target="../drawings/vmlDrawing7.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6.xml"/><Relationship Id="rId3" Type="http://schemas.openxmlformats.org/officeDocument/2006/relationships/vmlDrawing" Target="../drawings/vmlDrawing8.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7.xml"/><Relationship Id="rId3" Type="http://schemas.openxmlformats.org/officeDocument/2006/relationships/vmlDrawing" Target="../drawings/vmlDrawing9.v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0.xml"/><Relationship Id="rId3" Type="http://schemas.openxmlformats.org/officeDocument/2006/relationships/vmlDrawing" Target="../drawings/vmlDrawing10.vml"/>
</Relationships>
</file>

<file path=xl/worksheets/_rels/sheet16.xml.rels><?xml version="1.0" encoding="UTF-8"?>
<Relationships xmlns="http://schemas.openxmlformats.org/package/2006/relationships"><Relationship Id="rId1" Type="http://schemas.openxmlformats.org/officeDocument/2006/relationships/hyperlink" Target="https://analytics.google.com/" TargetMode="External"/><Relationship Id="rId2" Type="http://schemas.openxmlformats.org/officeDocument/2006/relationships/hyperlink" Target="https://search.google.com/search-console" TargetMode="External"/><Relationship Id="rId3" Type="http://schemas.openxmlformats.org/officeDocument/2006/relationships/hyperlink" Target="https://ads.google.com/aw/campaigns" TargetMode="External"/><Relationship Id="rId4" Type="http://schemas.openxmlformats.org/officeDocument/2006/relationships/hyperlink" Target="https://www.linkedin.com/campaignmanager/" TargetMode="External"/><Relationship Id="rId5" Type="http://schemas.openxmlformats.org/officeDocument/2006/relationships/hyperlink" Target="https://www.linkedin.com/campaignmanager/" TargetMode="External"/><Relationship Id="rId6" Type="http://schemas.openxmlformats.org/officeDocument/2006/relationships/hyperlink" Target="https://app.hubspot.com/" TargetMode="External"/><Relationship Id="rId7" Type="http://schemas.openxmlformats.org/officeDocument/2006/relationships/hyperlink" Target="https://app.ahrefs.com/" TargetMode="External"/><Relationship Id="rId8" Type="http://schemas.openxmlformats.org/officeDocument/2006/relationships/hyperlink" Target="https://pagespeed.web.dev/" TargetMode="External"/><Relationship Id="rId9" Type="http://schemas.openxmlformats.org/officeDocument/2006/relationships/hyperlink" Target="https://mcp.windsor.ai/"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2"/>
  </cols>
  <sheetData>
    <row r="1" customFormat="false" ht="30" hidden="false" customHeight="true" outlineLevel="0" collapsed="false">
      <c r="A1" s="1" t="s">
        <v>0</v>
      </c>
      <c r="B1" s="1"/>
      <c r="C1" s="1"/>
    </row>
    <row r="2" customFormat="false" ht="18" hidden="false" customHeight="true" outlineLevel="0" collapsed="false">
      <c r="A2" s="2" t="s">
        <v>1</v>
      </c>
      <c r="B2" s="2"/>
      <c r="C2" s="2"/>
    </row>
    <row r="4" customFormat="false" ht="21.75" hidden="false" customHeight="true" outlineLevel="0" collapsed="false">
      <c r="B4" s="3" t="s">
        <v>2</v>
      </c>
      <c r="C4" s="3"/>
    </row>
    <row r="5" customFormat="false" ht="30" hidden="false" customHeight="true" outlineLevel="0" collapsed="false">
      <c r="B5" s="4" t="s">
        <v>3</v>
      </c>
      <c r="C5" s="5" t="s">
        <v>4</v>
      </c>
    </row>
    <row r="6" customFormat="false" ht="30" hidden="false" customHeight="true" outlineLevel="0" collapsed="false">
      <c r="B6" s="4" t="s">
        <v>5</v>
      </c>
      <c r="C6" s="5" t="s">
        <v>6</v>
      </c>
    </row>
    <row r="7" customFormat="false" ht="30" hidden="false" customHeight="true" outlineLevel="0" collapsed="false">
      <c r="B7" s="4" t="s">
        <v>7</v>
      </c>
      <c r="C7" s="5" t="s">
        <v>8</v>
      </c>
    </row>
    <row r="8" customFormat="false" ht="30" hidden="false" customHeight="true" outlineLevel="0" collapsed="false">
      <c r="B8" s="4" t="s">
        <v>9</v>
      </c>
      <c r="C8" s="5" t="s">
        <v>10</v>
      </c>
    </row>
    <row r="9" customFormat="false" ht="30" hidden="false" customHeight="true" outlineLevel="0" collapsed="false">
      <c r="B9" s="4" t="s">
        <v>11</v>
      </c>
      <c r="C9" s="5" t="s">
        <v>12</v>
      </c>
    </row>
    <row r="10" customFormat="false" ht="15" hidden="false" customHeight="false" outlineLevel="0" collapsed="false">
      <c r="B10" s="6"/>
      <c r="C10" s="6"/>
    </row>
    <row r="11" customFormat="false" ht="21.75" hidden="false" customHeight="true" outlineLevel="0" collapsed="false">
      <c r="B11" s="3" t="s">
        <v>13</v>
      </c>
      <c r="C11" s="3"/>
    </row>
    <row r="12" customFormat="false" ht="15" hidden="false" customHeight="false" outlineLevel="0" collapsed="false">
      <c r="B12" s="7" t="s">
        <v>14</v>
      </c>
      <c r="C12" s="5" t="s">
        <v>15</v>
      </c>
    </row>
    <row r="13" customFormat="false" ht="15" hidden="false" customHeight="false" outlineLevel="0" collapsed="false">
      <c r="B13" s="8" t="s">
        <v>16</v>
      </c>
      <c r="C13" s="5" t="s">
        <v>17</v>
      </c>
    </row>
    <row r="14" customFormat="false" ht="15" hidden="false" customHeight="false" outlineLevel="0" collapsed="false">
      <c r="B14" s="9" t="s">
        <v>18</v>
      </c>
      <c r="C14" s="5" t="s">
        <v>19</v>
      </c>
    </row>
    <row r="15" customFormat="false" ht="15" hidden="false" customHeight="false" outlineLevel="0" collapsed="false">
      <c r="B15" s="10" t="s">
        <v>20</v>
      </c>
      <c r="C15" s="5" t="s">
        <v>21</v>
      </c>
    </row>
    <row r="16" customFormat="false" ht="15" hidden="false" customHeight="false" outlineLevel="0" collapsed="false">
      <c r="B16" s="6"/>
      <c r="C16" s="6"/>
    </row>
    <row r="17" customFormat="false" ht="30" hidden="false" customHeight="true" outlineLevel="0" collapsed="false">
      <c r="B17" s="4" t="s">
        <v>22</v>
      </c>
      <c r="C17" s="5" t="s">
        <v>23</v>
      </c>
    </row>
    <row r="18" customFormat="false" ht="30" hidden="false" customHeight="true" outlineLevel="0" collapsed="false">
      <c r="B18" s="4" t="s">
        <v>24</v>
      </c>
      <c r="C18" s="5" t="s">
        <v>25</v>
      </c>
    </row>
    <row r="19" customFormat="false" ht="15" hidden="false" customHeight="false" outlineLevel="0" collapsed="false">
      <c r="B19" s="6"/>
      <c r="C19" s="6"/>
    </row>
    <row r="20" customFormat="false" ht="21.75" hidden="false" customHeight="true" outlineLevel="0" collapsed="false">
      <c r="B20" s="3" t="s">
        <v>26</v>
      </c>
      <c r="C20" s="3"/>
    </row>
    <row r="21" customFormat="false" ht="69.75" hidden="false" customHeight="true" outlineLevel="0" collapsed="false">
      <c r="B21" s="11" t="s">
        <v>27</v>
      </c>
      <c r="C21" s="11"/>
    </row>
  </sheetData>
  <mergeCells count="6">
    <mergeCell ref="A1:C1"/>
    <mergeCell ref="A2:C2"/>
    <mergeCell ref="B4:C4"/>
    <mergeCell ref="B11:C11"/>
    <mergeCell ref="B20:C20"/>
    <mergeCell ref="B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J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5"/>
    <col collapsed="false" customWidth="true" hidden="false" outlineLevel="0" max="5" min="4" style="0" width="13"/>
    <col collapsed="false" customWidth="true" hidden="false" outlineLevel="0" max="6" min="6" style="0" width="15"/>
    <col collapsed="false" customWidth="true" hidden="false" outlineLevel="0" max="7" min="7" style="0" width="62"/>
  </cols>
  <sheetData>
    <row r="1" customFormat="false" ht="30" hidden="false" customHeight="true" outlineLevel="0" collapsed="false">
      <c r="A1" s="1" t="s">
        <v>28</v>
      </c>
      <c r="B1" s="1"/>
      <c r="C1" s="1"/>
      <c r="D1" s="1"/>
      <c r="E1" s="1"/>
      <c r="F1" s="1"/>
      <c r="G1" s="1"/>
      <c r="J1" s="12" t="s">
        <v>29</v>
      </c>
    </row>
    <row r="2" customFormat="false" ht="18" hidden="false" customHeight="true" outlineLevel="0" collapsed="false">
      <c r="A2" s="2" t="s">
        <v>30</v>
      </c>
      <c r="B2" s="2"/>
      <c r="C2" s="2"/>
      <c r="D2" s="2"/>
      <c r="E2" s="2"/>
      <c r="F2" s="2"/>
      <c r="G2" s="2"/>
      <c r="J2" s="12" t="n">
        <f aca="false">IFERROR(MATCH($B$4,'KPI Monthly'!$A$5:$A$28,0),1)</f>
        <v>1</v>
      </c>
    </row>
    <row r="4" customFormat="false" ht="15" hidden="false" customHeight="true" outlineLevel="0" collapsed="false">
      <c r="A4" s="13" t="s">
        <v>31</v>
      </c>
      <c r="B4" s="14" t="s">
        <v>32</v>
      </c>
      <c r="C4" s="15" t="s">
        <v>33</v>
      </c>
      <c r="D4" s="15"/>
      <c r="E4" s="15"/>
      <c r="F4" s="15"/>
      <c r="G4" s="15"/>
    </row>
    <row r="6" customFormat="false" ht="21.75" hidden="false" customHeight="true" outlineLevel="0" collapsed="false">
      <c r="A6" s="16" t="s">
        <v>34</v>
      </c>
      <c r="B6" s="16" t="s">
        <v>35</v>
      </c>
      <c r="C6" s="16" t="s">
        <v>36</v>
      </c>
      <c r="D6" s="16" t="s">
        <v>37</v>
      </c>
      <c r="E6" s="16" t="s">
        <v>38</v>
      </c>
      <c r="F6" s="16" t="s">
        <v>39</v>
      </c>
      <c r="G6" s="16" t="s">
        <v>40</v>
      </c>
    </row>
    <row r="7" customFormat="false" ht="30" hidden="false" customHeight="true" outlineLevel="0" collapsed="false">
      <c r="A7" s="8" t="s">
        <v>41</v>
      </c>
      <c r="B7" s="17" t="n">
        <f aca="false">IFERROR(INDEX('KPI Monthly'!$D$5:$D$28,$J$2),"")</f>
        <v>5000</v>
      </c>
      <c r="C7" s="18" t="str">
        <f aca="false">IF($J$2&gt;1,IFERROR(INDEX('KPI Monthly'!$D$5:$D$28,$J$2-1),""),"")</f>
        <v/>
      </c>
      <c r="D7" s="19" t="str">
        <f aca="false">IF(OR(C7="",C7=0),"",(B7-C7)/C7)</f>
        <v/>
      </c>
      <c r="E7" s="20" t="s">
        <v>42</v>
      </c>
      <c r="F7" s="21" t="str">
        <f aca="false">IF(OR(D7="",D7=0),"Flat",IF(D7&gt;0,"Improving","Down"))</f>
        <v>Flat</v>
      </c>
      <c r="G7" s="22" t="str">
        <f aca="false">IF(OR(D7="",D7=0),"Holding steady versus last month.",IF(D7&gt;0,"Total users are growing month on month.","Total users dipped versus last month; check channel mix."))</f>
        <v>Holding steady versus last month.</v>
      </c>
    </row>
    <row r="8" customFormat="false" ht="30" hidden="false" customHeight="true" outlineLevel="0" collapsed="false">
      <c r="A8" s="23" t="s">
        <v>43</v>
      </c>
      <c r="B8" s="24" t="n">
        <f aca="false">IFERROR(INDEX('KPI Monthly'!$H$5:$H$28,$J$2),"")</f>
        <v>30</v>
      </c>
      <c r="C8" s="25" t="str">
        <f aca="false">IF($J$2&gt;1,IFERROR(INDEX('KPI Monthly'!$H$5:$H$28,$J$2-1),""),"")</f>
        <v/>
      </c>
      <c r="D8" s="26" t="str">
        <f aca="false">IF(OR(C8="",C8=0),"",(B8-C8)/C8)</f>
        <v/>
      </c>
      <c r="E8" s="20" t="s">
        <v>42</v>
      </c>
      <c r="F8" s="27" t="str">
        <f aca="false">IF(OR(D8="",D8=0),"Flat",IF(D8&gt;0,"Improving","Down"))</f>
        <v>Flat</v>
      </c>
      <c r="G8" s="28" t="str">
        <f aca="false">IF(OR(D8="",D8=0),"Holding steady versus last month.",IF(D8&gt;0,"Qualified lead volume is up on the prior month.","Qualified leads fell against last month; review forms and tracking."))</f>
        <v>Holding steady versus last month.</v>
      </c>
    </row>
    <row r="9" customFormat="false" ht="30" hidden="false" customHeight="true" outlineLevel="0" collapsed="false">
      <c r="A9" s="8" t="s">
        <v>44</v>
      </c>
      <c r="B9" s="29" t="n">
        <f aca="false">IFERROR(INDEX('KPI Monthly'!$I$5:$I$28,$J$2),"")</f>
        <v>0.006</v>
      </c>
      <c r="C9" s="30" t="str">
        <f aca="false">IF($J$2&gt;1,IFERROR(INDEX('KPI Monthly'!$I$5:$I$28,$J$2-1),""),"")</f>
        <v/>
      </c>
      <c r="D9" s="19" t="str">
        <f aca="false">IF(OR(C9="",C9=0),"",(B9-C9)/C9)</f>
        <v/>
      </c>
      <c r="E9" s="20" t="s">
        <v>42</v>
      </c>
      <c r="F9" s="21" t="str">
        <f aca="false">IF(OR(D9="",D9=0),"Flat",IF(D9&gt;0,"Improving","Down"))</f>
        <v>Flat</v>
      </c>
      <c r="G9" s="22" t="str">
        <f aca="false">IF(OR(D9="",D9=0),"Holding steady versus last month.",IF(D9&gt;0,"More of your visits are turning into leads.","Fewer visits convert; tighten landing pages and CTAs."))</f>
        <v>Holding steady versus last month.</v>
      </c>
    </row>
    <row r="10" customFormat="false" ht="30" hidden="false" customHeight="true" outlineLevel="0" collapsed="false">
      <c r="A10" s="23" t="s">
        <v>45</v>
      </c>
      <c r="B10" s="31" t="n">
        <f aca="false">IFERROR(INDEX('KPI Monthly'!$E$5:$E$28,$J$2),"")</f>
        <v>0.45</v>
      </c>
      <c r="C10" s="32" t="str">
        <f aca="false">IF($J$2&gt;1,IFERROR(INDEX('KPI Monthly'!$E$5:$E$28,$J$2-1),""),"")</f>
        <v/>
      </c>
      <c r="D10" s="26" t="str">
        <f aca="false">IF(OR(C10="",C10=0),"",(B10-C10)/C10)</f>
        <v/>
      </c>
      <c r="E10" s="33" t="n">
        <v>0.4</v>
      </c>
      <c r="F10" s="27" t="str">
        <f aca="false">IF(B10="","",IF(B10&gt;=E10,"On track",IF(B10&gt;=E10*0.9,"Watch","Off target")))</f>
        <v>On track</v>
      </c>
      <c r="G10" s="28" t="str">
        <f aca="false">IF(B10="","",IF(B10&gt;=E10,"At or above the 40% engagement goal.","Below the 40% goal; lift on-page relevance and speed."))</f>
        <v>At or above the 40% engagement goal.</v>
      </c>
    </row>
    <row r="11" customFormat="false" ht="30" hidden="false" customHeight="true" outlineLevel="0" collapsed="false">
      <c r="A11" s="8" t="s">
        <v>46</v>
      </c>
      <c r="B11" s="34" t="n">
        <f aca="false">IFERROR(INDEX('KPI Monthly'!$F$5:$F$28,$J$2),"")</f>
        <v>0.55</v>
      </c>
      <c r="C11" s="35" t="str">
        <f aca="false">IF($J$2&gt;1,IFERROR(INDEX('KPI Monthly'!$F$5:$F$28,$J$2-1),""),"")</f>
        <v/>
      </c>
      <c r="D11" s="19" t="str">
        <f aca="false">IF(OR(C11="",C11=0),"",(B11-C11)/C11)</f>
        <v/>
      </c>
      <c r="E11" s="33" t="n">
        <v>0.65</v>
      </c>
      <c r="F11" s="21" t="str">
        <f aca="false">IF(B11="","",IF(B11&lt;=E11,"On track",IF(B11&lt;=E11*1.1,"Watch","Off target")))</f>
        <v>On track</v>
      </c>
      <c r="G11" s="22" t="str">
        <f aca="false">IF(B11="","",IF(B11&lt;=E11,"Under the 65% bounce ceiling.","Over the 65% ceiling; fix intent match above the fold."))</f>
        <v>Under the 65% bounce ceiling.</v>
      </c>
    </row>
    <row r="12" customFormat="false" ht="30" hidden="false" customHeight="true" outlineLevel="0" collapsed="false">
      <c r="A12" s="23" t="s">
        <v>47</v>
      </c>
      <c r="B12" s="36" t="n">
        <f aca="false">IFERROR(INDEX('KPI Monthly'!$J$5:$J$28,$J$2),"")</f>
        <v>1200</v>
      </c>
      <c r="C12" s="37" t="str">
        <f aca="false">IF($J$2&gt;1,IFERROR(INDEX('KPI Monthly'!$J$5:$J$28,$J$2-1),""),"")</f>
        <v/>
      </c>
      <c r="D12" s="26" t="str">
        <f aca="false">IF(OR(C12="",C12=0),"",(B12-C12)/C12)</f>
        <v/>
      </c>
      <c r="E12" s="20" t="s">
        <v>42</v>
      </c>
      <c r="F12" s="27" t="str">
        <f aca="false">"n/a"</f>
        <v>n/a</v>
      </c>
      <c r="G12" s="28" t="str">
        <f aca="false">"Spend level for the month, for context."</f>
        <v>Spend level for the month, for context.</v>
      </c>
    </row>
    <row r="13" customFormat="false" ht="30" hidden="false" customHeight="true" outlineLevel="0" collapsed="false">
      <c r="A13" s="8" t="s">
        <v>48</v>
      </c>
      <c r="B13" s="38" t="n">
        <f aca="false">IFERROR(INDEX('KPI Monthly'!$K$5:$K$28,$J$2),"")</f>
        <v>40</v>
      </c>
      <c r="C13" s="39" t="str">
        <f aca="false">IF($J$2&gt;1,IFERROR(INDEX('KPI Monthly'!$K$5:$K$28,$J$2-1),""),"")</f>
        <v/>
      </c>
      <c r="D13" s="19" t="str">
        <f aca="false">IF(OR(C13="",C13=0),"",(B13-C13)/C13)</f>
        <v/>
      </c>
      <c r="E13" s="40" t="n">
        <v>25</v>
      </c>
      <c r="F13" s="21" t="str">
        <f aca="false">IF(B13="","",IF(B13&lt;=E13,"On track",IF(B13&lt;=E13*1.1,"Watch","Off target")))</f>
        <v>Off target</v>
      </c>
      <c r="G13" s="22" t="str">
        <f aca="false">IF(B13="","",IF(B13&lt;=E13,"At or under the $25 blended CPL target.","Above the $25 CPL target; pause zero-conversion spend."))</f>
        <v>Above the $25 CPL target; pause zero-conversion spend.</v>
      </c>
    </row>
    <row r="14" customFormat="false" ht="30" hidden="false" customHeight="true" outlineLevel="0" collapsed="false">
      <c r="A14" s="23" t="s">
        <v>49</v>
      </c>
      <c r="B14" s="24" t="n">
        <f aca="false">IFERROR(INDEX('KPI Monthly'!$L$5:$L$28,$J$2),"")</f>
        <v>800</v>
      </c>
      <c r="C14" s="25" t="str">
        <f aca="false">IF($J$2&gt;1,IFERROR(INDEX('KPI Monthly'!$L$5:$L$28,$J$2-1),""),"")</f>
        <v/>
      </c>
      <c r="D14" s="26" t="str">
        <f aca="false">IF(OR(C14="",C14=0),"",(B14-C14)/C14)</f>
        <v/>
      </c>
      <c r="E14" s="20" t="s">
        <v>42</v>
      </c>
      <c r="F14" s="27" t="str">
        <f aca="false">IF(OR(D14="",D14=0),"Flat",IF(D14&gt;0,"Improving","Down"))</f>
        <v>Flat</v>
      </c>
      <c r="G14" s="28" t="str">
        <f aca="false">IF(OR(D14="",D14=0),"Holding steady versus last month.",IF(D14&gt;0,"Organic clicks are climbing.","Organic clicks slipped; check rankings and CTR."))</f>
        <v>Holding steady versus last month.</v>
      </c>
    </row>
    <row r="15" customFormat="false" ht="30" hidden="false" customHeight="true" outlineLevel="0" collapsed="false">
      <c r="A15" s="8" t="s">
        <v>50</v>
      </c>
      <c r="B15" s="29" t="n">
        <f aca="false">IFERROR(INDEX('KPI Monthly'!$N$5:$N$28,$J$2),"")</f>
        <v>0.02</v>
      </c>
      <c r="C15" s="30" t="str">
        <f aca="false">IF($J$2&gt;1,IFERROR(INDEX('KPI Monthly'!$N$5:$N$28,$J$2-1),""),"")</f>
        <v/>
      </c>
      <c r="D15" s="19" t="str">
        <f aca="false">IF(OR(C15="",C15=0),"",(B15-C15)/C15)</f>
        <v/>
      </c>
      <c r="E15" s="41" t="n">
        <v>0.01</v>
      </c>
      <c r="F15" s="21" t="str">
        <f aca="false">IF(B15="","",IF(B15&gt;=E15,"On track",IF(B15&gt;=E15*0.9,"Watch","Off target")))</f>
        <v>On track</v>
      </c>
      <c r="G15" s="22" t="str">
        <f aca="false">IF(B15="","",IF(B15&gt;=E15,"Above the 1% organic CTR floor.","Under the 1% floor; rewrite titles and meta descriptions."))</f>
        <v>Above the 1% organic CTR floor.</v>
      </c>
    </row>
    <row r="16" customFormat="false" ht="30" hidden="false" customHeight="true" outlineLevel="0" collapsed="false">
      <c r="A16" s="23" t="s">
        <v>51</v>
      </c>
      <c r="B16" s="42" t="n">
        <f aca="false">IFERROR(INDEX('KPI Monthly'!$O$5:$O$28,$J$2),"")</f>
        <v>12</v>
      </c>
      <c r="C16" s="43" t="str">
        <f aca="false">IF($J$2&gt;1,IFERROR(INDEX('KPI Monthly'!$O$5:$O$28,$J$2-1),""),"")</f>
        <v/>
      </c>
      <c r="D16" s="26" t="str">
        <f aca="false">IF(OR(C16="",C16=0),"",(B16-C16)/C16)</f>
        <v/>
      </c>
      <c r="E16" s="20" t="s">
        <v>42</v>
      </c>
      <c r="F16" s="27" t="str">
        <f aca="false">IF(OR(D16="",D16=0),"Flat",IF(D16&lt;0,"Improving","Down"))</f>
        <v>Flat</v>
      </c>
      <c r="G16" s="28" t="str">
        <f aca="false">IF(OR(D16="",D16=0),"Holding steady versus last month.",IF(D16&lt;0,"Average rank improved (moved toward 1).","Average rank slipped; refresh striking-distance pages."))</f>
        <v>Holding steady versus last month.</v>
      </c>
    </row>
    <row r="17" customFormat="false" ht="30" hidden="false" customHeight="true" outlineLevel="0" collapsed="false">
      <c r="A17" s="8" t="s">
        <v>52</v>
      </c>
      <c r="B17" s="34" t="n">
        <f aca="false">IFERROR(INDEX('KPI Monthly'!$Q$5:$Q$28,$J$2),"")</f>
        <v>0.35</v>
      </c>
      <c r="C17" s="35" t="str">
        <f aca="false">IF($J$2&gt;1,IFERROR(INDEX('KPI Monthly'!$Q$5:$Q$28,$J$2-1),""),"")</f>
        <v/>
      </c>
      <c r="D17" s="19" t="str">
        <f aca="false">IF(OR(C17="",C17=0),"",(B17-C17)/C17)</f>
        <v/>
      </c>
      <c r="E17" s="20" t="s">
        <v>42</v>
      </c>
      <c r="F17" s="21" t="str">
        <f aca="false">IF(OR(D17="",D17=0),"Flat",IF(D17&gt;0,"Improving","Down"))</f>
        <v>Flat</v>
      </c>
      <c r="G17" s="22" t="str">
        <f aca="false">IF(OR(D17="",D17=0),"Holding steady versus last month.",IF(D17&gt;0,"More clicks come from non-brand demand. Real growth.","Non-brand share is flat or down; invest in topical clusters."))</f>
        <v>Holding steady versus last month.</v>
      </c>
    </row>
    <row r="18" customFormat="false" ht="30" hidden="false" customHeight="true" outlineLevel="0" collapsed="false">
      <c r="A18" s="23" t="s">
        <v>53</v>
      </c>
      <c r="B18" s="24" t="n">
        <f aca="false">IFERROR(INDEX('KPI Monthly'!$S$5:$S$28,$J$2),"")</f>
        <v>0</v>
      </c>
      <c r="C18" s="25" t="str">
        <f aca="false">IF($J$2&gt;1,IFERROR(INDEX('KPI Monthly'!$S$5:$S$28,$J$2-1),""),"")</f>
        <v/>
      </c>
      <c r="D18" s="26" t="str">
        <f aca="false">IF(OR(C18="",C18=0),"",(B18-C18)/C18)</f>
        <v/>
      </c>
      <c r="E18" s="20" t="s">
        <v>42</v>
      </c>
      <c r="F18" s="27" t="str">
        <f aca="false">IF(OR(D18="",D18=0),"Flat",IF(D18&gt;0,"Improving","Down"))</f>
        <v>Flat</v>
      </c>
      <c r="G18" s="28" t="str">
        <f aca="false">IF(OR(D18="",D18=0),"Holding steady versus last month.",IF(D18&gt;0,"AI engines cite you more often.","AI citations are not growing; add schema and citable stats."))</f>
        <v>Holding steady versus last month.</v>
      </c>
    </row>
    <row r="20" customFormat="false" ht="19.5" hidden="false" customHeight="true" outlineLevel="0" collapsed="false">
      <c r="A20" s="44" t="s">
        <v>54</v>
      </c>
      <c r="B20" s="44"/>
      <c r="C20" s="44"/>
      <c r="D20" s="44"/>
      <c r="E20" s="44"/>
      <c r="F20" s="44"/>
      <c r="G20" s="44"/>
    </row>
    <row r="21" customFormat="false" ht="49.5" hidden="false" customHeight="true" outlineLevel="0" collapsed="false">
      <c r="A21" s="45" t="str">
        <f aca="false">IF($B$4="","","Biggest lever this month: "&amp;IF(INDEX('KPI Monthly'!$Q$5:$Q$28,$J$2)&lt;0.35,"non-brand share is still the growth ceiling. ","brand demand is healthy; push deeper non-brand clusters. ")&amp;"Cost per lead is "&amp;TEXT(IFERROR(INDEX('KPI Monthly'!$K$5:$K$28,$J$2),0),"$#,##0")&amp;IF(IFERROR(INDEX('KPI Monthly'!$K$5:$K$28,$J$2),0)&lt;=25," (under the $25 target). "," (over the $25 target; pause zero-conversion spend). ")&amp;"AI engines cited Your Company "&amp;TEXT(IFERROR(INDEX('KPI Monthly'!$S$5:$S$28,$J$2),0),"#,##0")&amp;" times.")</f>
        <v>Biggest lever this month: brand demand is healthy; push deeper non-brand clusters. Cost per lead is $40 (over the $25 target; pause zero-conversion spend). AI engines cited Your Company 0 times.</v>
      </c>
      <c r="B21" s="45"/>
      <c r="C21" s="45"/>
      <c r="D21" s="45"/>
      <c r="E21" s="45"/>
      <c r="F21" s="45"/>
      <c r="G21" s="45"/>
    </row>
    <row r="22" customFormat="false" ht="15" hidden="false" customHeight="false" outlineLevel="0" collapsed="false">
      <c r="A22" s="45"/>
      <c r="B22" s="45"/>
      <c r="C22" s="45"/>
      <c r="D22" s="45"/>
      <c r="E22" s="45"/>
      <c r="F22" s="45"/>
      <c r="G22" s="45"/>
    </row>
    <row r="23" customFormat="false" ht="15" hidden="false" customHeight="false" outlineLevel="0" collapsed="false">
      <c r="A23" s="45"/>
      <c r="B23" s="45"/>
      <c r="C23" s="45"/>
      <c r="D23" s="45"/>
      <c r="E23" s="45"/>
      <c r="F23" s="45"/>
      <c r="G23" s="45"/>
    </row>
  </sheetData>
  <mergeCells count="5">
    <mergeCell ref="A1:G1"/>
    <mergeCell ref="A2:G2"/>
    <mergeCell ref="C4:G4"/>
    <mergeCell ref="A20:G20"/>
    <mergeCell ref="A21:G23"/>
  </mergeCells>
  <conditionalFormatting sqref="F7:F18">
    <cfRule type="expression" priority="2" aboveAverage="0" equalAverage="0" bottom="0" percent="0" rank="0" text="" dxfId="0">
      <formula>OR(F7="Off target",F7="Down")</formula>
    </cfRule>
    <cfRule type="expression" priority="3" aboveAverage="0" equalAverage="0" bottom="0" percent="0" rank="0" text="" dxfId="1">
      <formula>F7="Watch"</formula>
    </cfRule>
    <cfRule type="expression" priority="4" aboveAverage="0" equalAverage="0" bottom="0" percent="0" rank="0" text="" dxfId="2">
      <formula>OR(F7="On track",F7="Improving")</formula>
    </cfRule>
  </conditionalFormatting>
  <dataValidations count="1">
    <dataValidation allowBlank="true" errorStyle="stop" operator="between" showDropDown="false" showErrorMessage="false" showInputMessage="false" sqref="B4" type="list">
      <formula1>'KPI Monthly'!$A$5:$A$6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U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9"/>
    <col collapsed="false" customWidth="true" hidden="false" outlineLevel="0" max="4" min="4" style="0" width="11"/>
    <col collapsed="false" customWidth="true" hidden="false" outlineLevel="0" max="5" min="5" style="0" width="10"/>
    <col collapsed="false" customWidth="true" hidden="false" outlineLevel="0" max="7" min="6" style="0" width="11"/>
    <col collapsed="false" customWidth="true" hidden="false" outlineLevel="0" max="8" min="8" style="0" width="13"/>
    <col collapsed="false" customWidth="true" hidden="false" outlineLevel="0" max="15" min="9" style="0" width="12"/>
    <col collapsed="false" customWidth="true" hidden="false" outlineLevel="0" max="16" min="16" style="0" width="11"/>
    <col collapsed="false" customWidth="true" hidden="false" outlineLevel="0" max="17" min="17" style="0" width="13"/>
    <col collapsed="false" customWidth="true" hidden="false" outlineLevel="0" max="18" min="18" style="0" width="12"/>
    <col collapsed="false" customWidth="true" hidden="false" outlineLevel="0" max="20" min="19" style="0" width="11"/>
    <col collapsed="false" customWidth="true" hidden="false" outlineLevel="0" max="21" min="21" style="0" width="13"/>
    <col collapsed="false" customWidth="true" hidden="false" outlineLevel="0" max="22" min="22" style="0" width="12"/>
  </cols>
  <sheetData>
    <row r="1" customFormat="false" ht="30" hidden="false" customHeight="true" outlineLevel="0" collapsed="false">
      <c r="A1" s="1" t="s">
        <v>55</v>
      </c>
      <c r="B1" s="1"/>
      <c r="C1" s="1"/>
      <c r="D1" s="1"/>
      <c r="E1" s="1"/>
      <c r="F1" s="1"/>
      <c r="G1" s="1"/>
      <c r="H1" s="1"/>
      <c r="I1" s="1"/>
      <c r="J1" s="1"/>
      <c r="K1" s="1"/>
      <c r="L1" s="1"/>
      <c r="M1" s="1"/>
      <c r="N1" s="1"/>
      <c r="O1" s="1"/>
      <c r="P1" s="1"/>
      <c r="Q1" s="1"/>
      <c r="R1" s="1"/>
      <c r="S1" s="1"/>
      <c r="T1" s="1"/>
      <c r="U1" s="1"/>
    </row>
    <row r="2" customFormat="false" ht="18" hidden="false" customHeight="true" outlineLevel="0" collapsed="false">
      <c r="A2" s="2" t="s">
        <v>56</v>
      </c>
      <c r="B2" s="2"/>
      <c r="C2" s="2"/>
      <c r="D2" s="2"/>
      <c r="E2" s="2"/>
      <c r="F2" s="2"/>
      <c r="G2" s="2"/>
      <c r="H2" s="2"/>
      <c r="I2" s="2"/>
      <c r="J2" s="2"/>
      <c r="K2" s="2"/>
      <c r="L2" s="2"/>
      <c r="M2" s="2"/>
      <c r="N2" s="2"/>
      <c r="O2" s="2"/>
      <c r="P2" s="2"/>
      <c r="Q2" s="2"/>
      <c r="R2" s="2"/>
      <c r="S2" s="2"/>
      <c r="T2" s="2"/>
      <c r="U2" s="2"/>
    </row>
    <row r="4" customFormat="false" ht="30" hidden="false" customHeight="true" outlineLevel="0" collapsed="false">
      <c r="A4" s="16" t="s">
        <v>57</v>
      </c>
      <c r="B4" s="16" t="s">
        <v>58</v>
      </c>
      <c r="C4" s="16" t="s">
        <v>59</v>
      </c>
      <c r="D4" s="16" t="s">
        <v>60</v>
      </c>
      <c r="E4" s="16" t="s">
        <v>45</v>
      </c>
      <c r="F4" s="16" t="s">
        <v>46</v>
      </c>
      <c r="G4" s="16" t="s">
        <v>61</v>
      </c>
      <c r="H4" s="16" t="s">
        <v>43</v>
      </c>
      <c r="I4" s="16" t="s">
        <v>44</v>
      </c>
      <c r="J4" s="16" t="s">
        <v>47</v>
      </c>
      <c r="K4" s="16" t="s">
        <v>48</v>
      </c>
      <c r="L4" s="16" t="s">
        <v>49</v>
      </c>
      <c r="M4" s="16" t="s">
        <v>62</v>
      </c>
      <c r="N4" s="16" t="s">
        <v>50</v>
      </c>
      <c r="O4" s="16" t="s">
        <v>51</v>
      </c>
      <c r="P4" s="16" t="s">
        <v>63</v>
      </c>
      <c r="Q4" s="16" t="s">
        <v>52</v>
      </c>
      <c r="R4" s="16" t="s">
        <v>64</v>
      </c>
      <c r="S4" s="16" t="s">
        <v>53</v>
      </c>
      <c r="T4" s="16" t="s">
        <v>65</v>
      </c>
      <c r="U4" s="16" t="s">
        <v>66</v>
      </c>
    </row>
    <row r="5" customFormat="false" ht="15" hidden="false" customHeight="false" outlineLevel="0" collapsed="false">
      <c r="A5" s="8" t="s">
        <v>67</v>
      </c>
      <c r="B5" s="46" t="s">
        <v>68</v>
      </c>
      <c r="C5" s="47" t="s">
        <v>69</v>
      </c>
      <c r="D5" s="48" t="n">
        <v>5000</v>
      </c>
      <c r="E5" s="49" t="n">
        <v>0.45</v>
      </c>
      <c r="F5" s="49" t="n">
        <v>0.55</v>
      </c>
      <c r="G5" s="48" t="n">
        <v>65</v>
      </c>
      <c r="H5" s="48" t="n">
        <v>30</v>
      </c>
      <c r="I5" s="50" t="n">
        <f aca="false">IF(D5="","",H5/D5)</f>
        <v>0.006</v>
      </c>
      <c r="J5" s="51" t="n">
        <v>1200</v>
      </c>
      <c r="K5" s="52" t="n">
        <f aca="false">IF(OR(H5="",H5=0),"",J5/H5)</f>
        <v>40</v>
      </c>
      <c r="L5" s="48" t="n">
        <v>800</v>
      </c>
      <c r="M5" s="48" t="n">
        <v>40000</v>
      </c>
      <c r="N5" s="50" t="n">
        <f aca="false">IF(OR(M5="",M5=0),"",L5/M5)</f>
        <v>0.02</v>
      </c>
      <c r="O5" s="53" t="n">
        <v>12</v>
      </c>
      <c r="P5" s="48" t="n">
        <v>250</v>
      </c>
      <c r="Q5" s="49" t="n">
        <v>0.35</v>
      </c>
      <c r="R5" s="48"/>
      <c r="S5" s="48"/>
      <c r="T5" s="48" t="n">
        <v>20</v>
      </c>
      <c r="U5" s="48" t="n">
        <v>1</v>
      </c>
    </row>
    <row r="6" customFormat="false" ht="15" hidden="false" customHeight="false" outlineLevel="0" collapsed="false">
      <c r="A6" s="23" t="s">
        <v>70</v>
      </c>
      <c r="B6" s="54" t="s">
        <v>68</v>
      </c>
      <c r="C6" s="55" t="s">
        <v>69</v>
      </c>
      <c r="D6" s="56" t="n">
        <v>6200</v>
      </c>
      <c r="E6" s="57" t="n">
        <v>0.47</v>
      </c>
      <c r="F6" s="57" t="n">
        <v>0.53</v>
      </c>
      <c r="G6" s="56" t="n">
        <v>68</v>
      </c>
      <c r="H6" s="56" t="n">
        <v>41</v>
      </c>
      <c r="I6" s="58" t="n">
        <f aca="false">IF(D6="","",H6/D6)</f>
        <v>0.00661290322580645</v>
      </c>
      <c r="J6" s="59" t="n">
        <v>1500</v>
      </c>
      <c r="K6" s="60" t="n">
        <f aca="false">IF(OR(H6="",H6=0),"",J6/H6)</f>
        <v>36.5853658536585</v>
      </c>
      <c r="L6" s="56" t="n">
        <v>870</v>
      </c>
      <c r="M6" s="56" t="n">
        <v>43000</v>
      </c>
      <c r="N6" s="58" t="n">
        <f aca="false">IF(OR(M6="",M6=0),"",L6/M6)</f>
        <v>0.0202325581395349</v>
      </c>
      <c r="O6" s="61" t="n">
        <v>11.2</v>
      </c>
      <c r="P6" s="56" t="n">
        <v>268</v>
      </c>
      <c r="Q6" s="57" t="n">
        <v>0.37</v>
      </c>
      <c r="R6" s="56"/>
      <c r="S6" s="56"/>
      <c r="T6" s="56" t="n">
        <v>26</v>
      </c>
      <c r="U6" s="56" t="n">
        <v>2</v>
      </c>
    </row>
    <row r="7" customFormat="false" ht="15" hidden="false" customHeight="false" outlineLevel="0" collapsed="false">
      <c r="A7" s="8" t="s">
        <v>71</v>
      </c>
      <c r="B7" s="46" t="s">
        <v>68</v>
      </c>
      <c r="C7" s="62"/>
      <c r="D7" s="48"/>
      <c r="E7" s="49"/>
      <c r="F7" s="49"/>
      <c r="G7" s="48"/>
      <c r="H7" s="48"/>
      <c r="I7" s="50" t="str">
        <f aca="false">IF(D7="","",H7/D7)</f>
        <v/>
      </c>
      <c r="J7" s="51"/>
      <c r="K7" s="52" t="str">
        <f aca="false">IF(OR(H7="",H7=0),"",J7/H7)</f>
        <v/>
      </c>
      <c r="L7" s="48"/>
      <c r="M7" s="48"/>
      <c r="N7" s="50" t="str">
        <f aca="false">IF(OR(M7="",M7=0),"",L7/M7)</f>
        <v/>
      </c>
      <c r="O7" s="53"/>
      <c r="P7" s="48"/>
      <c r="Q7" s="49"/>
      <c r="R7" s="48"/>
      <c r="S7" s="48"/>
      <c r="T7" s="48"/>
      <c r="U7" s="48"/>
    </row>
    <row r="8" customFormat="false" ht="15" hidden="false" customHeight="false" outlineLevel="0" collapsed="false">
      <c r="A8" s="23" t="s">
        <v>72</v>
      </c>
      <c r="B8" s="54" t="s">
        <v>73</v>
      </c>
      <c r="C8" s="63"/>
      <c r="D8" s="56"/>
      <c r="E8" s="57"/>
      <c r="F8" s="57"/>
      <c r="G8" s="56"/>
      <c r="H8" s="56"/>
      <c r="I8" s="58" t="str">
        <f aca="false">IF(D8="","",H8/D8)</f>
        <v/>
      </c>
      <c r="J8" s="59"/>
      <c r="K8" s="60" t="str">
        <f aca="false">IF(OR(H8="",H8=0),"",J8/H8)</f>
        <v/>
      </c>
      <c r="L8" s="56"/>
      <c r="M8" s="56"/>
      <c r="N8" s="58" t="str">
        <f aca="false">IF(OR(M8="",M8=0),"",L8/M8)</f>
        <v/>
      </c>
      <c r="O8" s="61"/>
      <c r="P8" s="56"/>
      <c r="Q8" s="57"/>
      <c r="R8" s="56"/>
      <c r="S8" s="56"/>
      <c r="T8" s="56"/>
      <c r="U8" s="56"/>
    </row>
    <row r="9" customFormat="false" ht="15" hidden="false" customHeight="false" outlineLevel="0" collapsed="false">
      <c r="A9" s="8" t="s">
        <v>74</v>
      </c>
      <c r="B9" s="46" t="s">
        <v>73</v>
      </c>
      <c r="C9" s="62"/>
      <c r="D9" s="48"/>
      <c r="E9" s="49"/>
      <c r="F9" s="49"/>
      <c r="G9" s="48"/>
      <c r="H9" s="48"/>
      <c r="I9" s="50" t="str">
        <f aca="false">IF(D9="","",H9/D9)</f>
        <v/>
      </c>
      <c r="J9" s="51"/>
      <c r="K9" s="52" t="str">
        <f aca="false">IF(OR(H9="",H9=0),"",J9/H9)</f>
        <v/>
      </c>
      <c r="L9" s="48"/>
      <c r="M9" s="48"/>
      <c r="N9" s="50" t="str">
        <f aca="false">IF(OR(M9="",M9=0),"",L9/M9)</f>
        <v/>
      </c>
      <c r="O9" s="53"/>
      <c r="P9" s="48"/>
      <c r="Q9" s="49"/>
      <c r="R9" s="48"/>
      <c r="S9" s="48"/>
      <c r="T9" s="48"/>
      <c r="U9" s="48"/>
    </row>
    <row r="10" customFormat="false" ht="15" hidden="false" customHeight="false" outlineLevel="0" collapsed="false">
      <c r="A10" s="23" t="s">
        <v>75</v>
      </c>
      <c r="B10" s="54" t="s">
        <v>73</v>
      </c>
      <c r="C10" s="63"/>
      <c r="D10" s="56"/>
      <c r="E10" s="57"/>
      <c r="F10" s="57"/>
      <c r="G10" s="56"/>
      <c r="H10" s="56"/>
      <c r="I10" s="58" t="str">
        <f aca="false">IF(D10="","",H10/D10)</f>
        <v/>
      </c>
      <c r="J10" s="59"/>
      <c r="K10" s="60" t="str">
        <f aca="false">IF(OR(H10="",H10=0),"",J10/H10)</f>
        <v/>
      </c>
      <c r="L10" s="56"/>
      <c r="M10" s="56"/>
      <c r="N10" s="58" t="str">
        <f aca="false">IF(OR(M10="",M10=0),"",L10/M10)</f>
        <v/>
      </c>
      <c r="O10" s="61"/>
      <c r="P10" s="56"/>
      <c r="Q10" s="57"/>
      <c r="R10" s="56"/>
      <c r="S10" s="56"/>
      <c r="T10" s="56"/>
      <c r="U10" s="56"/>
    </row>
    <row r="11" customFormat="false" ht="15" hidden="false" customHeight="false" outlineLevel="0" collapsed="false">
      <c r="A11" s="8" t="s">
        <v>76</v>
      </c>
      <c r="B11" s="46" t="s">
        <v>77</v>
      </c>
      <c r="C11" s="62"/>
      <c r="D11" s="48"/>
      <c r="E11" s="49"/>
      <c r="F11" s="49"/>
      <c r="G11" s="48"/>
      <c r="H11" s="48"/>
      <c r="I11" s="50" t="str">
        <f aca="false">IF(D11="","",H11/D11)</f>
        <v/>
      </c>
      <c r="J11" s="51"/>
      <c r="K11" s="52" t="str">
        <f aca="false">IF(OR(H11="",H11=0),"",J11/H11)</f>
        <v/>
      </c>
      <c r="L11" s="48"/>
      <c r="M11" s="48"/>
      <c r="N11" s="50" t="str">
        <f aca="false">IF(OR(M11="",M11=0),"",L11/M11)</f>
        <v/>
      </c>
      <c r="O11" s="53"/>
      <c r="P11" s="48"/>
      <c r="Q11" s="49"/>
      <c r="R11" s="48"/>
      <c r="S11" s="48"/>
      <c r="T11" s="48"/>
      <c r="U11" s="48"/>
    </row>
    <row r="12" customFormat="false" ht="15" hidden="false" customHeight="false" outlineLevel="0" collapsed="false">
      <c r="A12" s="23" t="s">
        <v>78</v>
      </c>
      <c r="B12" s="54" t="s">
        <v>77</v>
      </c>
      <c r="C12" s="63"/>
      <c r="D12" s="56"/>
      <c r="E12" s="57"/>
      <c r="F12" s="57"/>
      <c r="G12" s="56"/>
      <c r="H12" s="56"/>
      <c r="I12" s="58" t="str">
        <f aca="false">IF(D12="","",H12/D12)</f>
        <v/>
      </c>
      <c r="J12" s="59"/>
      <c r="K12" s="60" t="str">
        <f aca="false">IF(OR(H12="",H12=0),"",J12/H12)</f>
        <v/>
      </c>
      <c r="L12" s="56"/>
      <c r="M12" s="56"/>
      <c r="N12" s="58" t="str">
        <f aca="false">IF(OR(M12="",M12=0),"",L12/M12)</f>
        <v/>
      </c>
      <c r="O12" s="61"/>
      <c r="P12" s="56"/>
      <c r="Q12" s="57"/>
      <c r="R12" s="56"/>
      <c r="S12" s="56"/>
      <c r="T12" s="56"/>
      <c r="U12" s="56"/>
    </row>
    <row r="13" customFormat="false" ht="15" hidden="false" customHeight="false" outlineLevel="0" collapsed="false">
      <c r="A13" s="8" t="s">
        <v>79</v>
      </c>
      <c r="B13" s="46" t="s">
        <v>77</v>
      </c>
      <c r="C13" s="62"/>
      <c r="D13" s="48"/>
      <c r="E13" s="49"/>
      <c r="F13" s="49"/>
      <c r="G13" s="48"/>
      <c r="H13" s="48"/>
      <c r="I13" s="50" t="str">
        <f aca="false">IF(D13="","",H13/D13)</f>
        <v/>
      </c>
      <c r="J13" s="51"/>
      <c r="K13" s="52" t="str">
        <f aca="false">IF(OR(H13="",H13=0),"",J13/H13)</f>
        <v/>
      </c>
      <c r="L13" s="48"/>
      <c r="M13" s="48"/>
      <c r="N13" s="50" t="str">
        <f aca="false">IF(OR(M13="",M13=0),"",L13/M13)</f>
        <v/>
      </c>
      <c r="O13" s="53"/>
      <c r="P13" s="48"/>
      <c r="Q13" s="49"/>
      <c r="R13" s="48"/>
      <c r="S13" s="48"/>
      <c r="T13" s="48"/>
      <c r="U13" s="48"/>
    </row>
    <row r="14" customFormat="false" ht="15" hidden="false" customHeight="false" outlineLevel="0" collapsed="false">
      <c r="A14" s="23" t="s">
        <v>80</v>
      </c>
      <c r="B14" s="54" t="s">
        <v>81</v>
      </c>
      <c r="C14" s="63"/>
      <c r="D14" s="56"/>
      <c r="E14" s="57"/>
      <c r="F14" s="57"/>
      <c r="G14" s="56"/>
      <c r="H14" s="56"/>
      <c r="I14" s="58" t="str">
        <f aca="false">IF(D14="","",H14/D14)</f>
        <v/>
      </c>
      <c r="J14" s="59"/>
      <c r="K14" s="60" t="str">
        <f aca="false">IF(OR(H14="",H14=0),"",J14/H14)</f>
        <v/>
      </c>
      <c r="L14" s="56"/>
      <c r="M14" s="56"/>
      <c r="N14" s="58" t="str">
        <f aca="false">IF(OR(M14="",M14=0),"",L14/M14)</f>
        <v/>
      </c>
      <c r="O14" s="61"/>
      <c r="P14" s="56"/>
      <c r="Q14" s="57"/>
      <c r="R14" s="56"/>
      <c r="S14" s="56"/>
      <c r="T14" s="56"/>
      <c r="U14" s="56"/>
    </row>
    <row r="15" customFormat="false" ht="15" hidden="false" customHeight="false" outlineLevel="0" collapsed="false">
      <c r="A15" s="8" t="s">
        <v>82</v>
      </c>
      <c r="B15" s="46" t="s">
        <v>81</v>
      </c>
      <c r="C15" s="62"/>
      <c r="D15" s="48"/>
      <c r="E15" s="49"/>
      <c r="F15" s="49"/>
      <c r="G15" s="48"/>
      <c r="H15" s="48"/>
      <c r="I15" s="50" t="str">
        <f aca="false">IF(D15="","",H15/D15)</f>
        <v/>
      </c>
      <c r="J15" s="51"/>
      <c r="K15" s="52" t="str">
        <f aca="false">IF(OR(H15="",H15=0),"",J15/H15)</f>
        <v/>
      </c>
      <c r="L15" s="48"/>
      <c r="M15" s="48"/>
      <c r="N15" s="50" t="str">
        <f aca="false">IF(OR(M15="",M15=0),"",L15/M15)</f>
        <v/>
      </c>
      <c r="O15" s="53"/>
      <c r="P15" s="48"/>
      <c r="Q15" s="49"/>
      <c r="R15" s="48"/>
      <c r="S15" s="48"/>
      <c r="T15" s="48"/>
      <c r="U15" s="48"/>
    </row>
    <row r="16" customFormat="false" ht="15" hidden="false" customHeight="false" outlineLevel="0" collapsed="false">
      <c r="A16" s="23" t="s">
        <v>83</v>
      </c>
      <c r="B16" s="54" t="s">
        <v>81</v>
      </c>
      <c r="C16" s="63"/>
      <c r="D16" s="56"/>
      <c r="E16" s="57"/>
      <c r="F16" s="57"/>
      <c r="G16" s="56"/>
      <c r="H16" s="56"/>
      <c r="I16" s="58" t="str">
        <f aca="false">IF(D16="","",H16/D16)</f>
        <v/>
      </c>
      <c r="J16" s="59"/>
      <c r="K16" s="60" t="str">
        <f aca="false">IF(OR(H16="",H16=0),"",J16/H16)</f>
        <v/>
      </c>
      <c r="L16" s="56"/>
      <c r="M16" s="56"/>
      <c r="N16" s="58" t="str">
        <f aca="false">IF(OR(M16="",M16=0),"",L16/M16)</f>
        <v/>
      </c>
      <c r="O16" s="61"/>
      <c r="P16" s="56"/>
      <c r="Q16" s="57"/>
      <c r="R16" s="56"/>
      <c r="S16" s="56"/>
      <c r="T16" s="56"/>
      <c r="U16" s="56"/>
    </row>
    <row r="17" customFormat="false" ht="15" hidden="false" customHeight="false" outlineLevel="0" collapsed="false">
      <c r="A17" s="8" t="s">
        <v>84</v>
      </c>
      <c r="B17" s="46" t="s">
        <v>85</v>
      </c>
      <c r="C17" s="62"/>
      <c r="D17" s="48"/>
      <c r="E17" s="49"/>
      <c r="F17" s="49"/>
      <c r="G17" s="48"/>
      <c r="H17" s="48"/>
      <c r="I17" s="50" t="str">
        <f aca="false">IF(D17="","",H17/D17)</f>
        <v/>
      </c>
      <c r="J17" s="51"/>
      <c r="K17" s="52" t="str">
        <f aca="false">IF(OR(H17="",H17=0),"",J17/H17)</f>
        <v/>
      </c>
      <c r="L17" s="48"/>
      <c r="M17" s="48"/>
      <c r="N17" s="50" t="str">
        <f aca="false">IF(OR(M17="",M17=0),"",L17/M17)</f>
        <v/>
      </c>
      <c r="O17" s="53"/>
      <c r="P17" s="48"/>
      <c r="Q17" s="49"/>
      <c r="R17" s="48"/>
      <c r="S17" s="48"/>
      <c r="T17" s="48"/>
      <c r="U17" s="48"/>
    </row>
    <row r="18" customFormat="false" ht="15" hidden="false" customHeight="false" outlineLevel="0" collapsed="false">
      <c r="A18" s="23" t="s">
        <v>86</v>
      </c>
      <c r="B18" s="54" t="s">
        <v>85</v>
      </c>
      <c r="C18" s="63"/>
      <c r="D18" s="56"/>
      <c r="E18" s="57"/>
      <c r="F18" s="57"/>
      <c r="G18" s="56"/>
      <c r="H18" s="56"/>
      <c r="I18" s="58" t="str">
        <f aca="false">IF(D18="","",H18/D18)</f>
        <v/>
      </c>
      <c r="J18" s="59"/>
      <c r="K18" s="60" t="str">
        <f aca="false">IF(OR(H18="",H18=0),"",J18/H18)</f>
        <v/>
      </c>
      <c r="L18" s="56"/>
      <c r="M18" s="56"/>
      <c r="N18" s="58" t="str">
        <f aca="false">IF(OR(M18="",M18=0),"",L18/M18)</f>
        <v/>
      </c>
      <c r="O18" s="61"/>
      <c r="P18" s="56"/>
      <c r="Q18" s="57"/>
      <c r="R18" s="56"/>
      <c r="S18" s="56"/>
      <c r="T18" s="56"/>
      <c r="U18" s="56"/>
    </row>
    <row r="19" customFormat="false" ht="15" hidden="false" customHeight="false" outlineLevel="0" collapsed="false">
      <c r="A19" s="8" t="s">
        <v>87</v>
      </c>
      <c r="B19" s="46" t="s">
        <v>85</v>
      </c>
      <c r="C19" s="62"/>
      <c r="D19" s="48"/>
      <c r="E19" s="49"/>
      <c r="F19" s="49"/>
      <c r="G19" s="48"/>
      <c r="H19" s="48"/>
      <c r="I19" s="50" t="str">
        <f aca="false">IF(D19="","",H19/D19)</f>
        <v/>
      </c>
      <c r="J19" s="51"/>
      <c r="K19" s="52" t="str">
        <f aca="false">IF(OR(H19="",H19=0),"",J19/H19)</f>
        <v/>
      </c>
      <c r="L19" s="48"/>
      <c r="M19" s="48"/>
      <c r="N19" s="50" t="str">
        <f aca="false">IF(OR(M19="",M19=0),"",L19/M19)</f>
        <v/>
      </c>
      <c r="O19" s="53"/>
      <c r="P19" s="48"/>
      <c r="Q19" s="49"/>
      <c r="R19" s="48"/>
      <c r="S19" s="48"/>
      <c r="T19" s="48"/>
      <c r="U19" s="48"/>
    </row>
    <row r="20" customFormat="false" ht="15" hidden="false" customHeight="false" outlineLevel="0" collapsed="false">
      <c r="A20" s="23" t="s">
        <v>88</v>
      </c>
      <c r="B20" s="54" t="s">
        <v>89</v>
      </c>
      <c r="C20" s="63"/>
      <c r="D20" s="56"/>
      <c r="E20" s="57"/>
      <c r="F20" s="57"/>
      <c r="G20" s="56"/>
      <c r="H20" s="56"/>
      <c r="I20" s="58" t="str">
        <f aca="false">IF(D20="","",H20/D20)</f>
        <v/>
      </c>
      <c r="J20" s="59"/>
      <c r="K20" s="60" t="str">
        <f aca="false">IF(OR(H20="",H20=0),"",J20/H20)</f>
        <v/>
      </c>
      <c r="L20" s="56"/>
      <c r="M20" s="56"/>
      <c r="N20" s="58" t="str">
        <f aca="false">IF(OR(M20="",M20=0),"",L20/M20)</f>
        <v/>
      </c>
      <c r="O20" s="61"/>
      <c r="P20" s="56"/>
      <c r="Q20" s="57"/>
      <c r="R20" s="56"/>
      <c r="S20" s="56"/>
      <c r="T20" s="56"/>
      <c r="U20" s="56"/>
    </row>
    <row r="21" customFormat="false" ht="15" hidden="false" customHeight="false" outlineLevel="0" collapsed="false">
      <c r="A21" s="8" t="s">
        <v>90</v>
      </c>
      <c r="B21" s="46" t="s">
        <v>89</v>
      </c>
      <c r="C21" s="62"/>
      <c r="D21" s="48"/>
      <c r="E21" s="49"/>
      <c r="F21" s="49"/>
      <c r="G21" s="48"/>
      <c r="H21" s="48"/>
      <c r="I21" s="50" t="str">
        <f aca="false">IF(D21="","",H21/D21)</f>
        <v/>
      </c>
      <c r="J21" s="51"/>
      <c r="K21" s="52" t="str">
        <f aca="false">IF(OR(H21="",H21=0),"",J21/H21)</f>
        <v/>
      </c>
      <c r="L21" s="48"/>
      <c r="M21" s="48"/>
      <c r="N21" s="50" t="str">
        <f aca="false">IF(OR(M21="",M21=0),"",L21/M21)</f>
        <v/>
      </c>
      <c r="O21" s="53"/>
      <c r="P21" s="48"/>
      <c r="Q21" s="49"/>
      <c r="R21" s="48"/>
      <c r="S21" s="48"/>
      <c r="T21" s="48"/>
      <c r="U21" s="48"/>
    </row>
    <row r="22" customFormat="false" ht="15" hidden="false" customHeight="false" outlineLevel="0" collapsed="false">
      <c r="A22" s="23" t="s">
        <v>91</v>
      </c>
      <c r="B22" s="54" t="s">
        <v>89</v>
      </c>
      <c r="C22" s="63"/>
      <c r="D22" s="56"/>
      <c r="E22" s="57"/>
      <c r="F22" s="57"/>
      <c r="G22" s="56"/>
      <c r="H22" s="56"/>
      <c r="I22" s="58" t="str">
        <f aca="false">IF(D22="","",H22/D22)</f>
        <v/>
      </c>
      <c r="J22" s="59"/>
      <c r="K22" s="60" t="str">
        <f aca="false">IF(OR(H22="",H22=0),"",J22/H22)</f>
        <v/>
      </c>
      <c r="L22" s="56"/>
      <c r="M22" s="56"/>
      <c r="N22" s="58" t="str">
        <f aca="false">IF(OR(M22="",M22=0),"",L22/M22)</f>
        <v/>
      </c>
      <c r="O22" s="61"/>
      <c r="P22" s="56"/>
      <c r="Q22" s="57"/>
      <c r="R22" s="56"/>
      <c r="S22" s="56"/>
      <c r="T22" s="56"/>
      <c r="U22" s="56"/>
    </row>
    <row r="23" customFormat="false" ht="15" hidden="false" customHeight="false" outlineLevel="0" collapsed="false">
      <c r="A23" s="8" t="s">
        <v>92</v>
      </c>
      <c r="B23" s="46" t="s">
        <v>93</v>
      </c>
      <c r="C23" s="62"/>
      <c r="D23" s="48"/>
      <c r="E23" s="49"/>
      <c r="F23" s="49"/>
      <c r="G23" s="48"/>
      <c r="H23" s="48"/>
      <c r="I23" s="50" t="str">
        <f aca="false">IF(D23="","",H23/D23)</f>
        <v/>
      </c>
      <c r="J23" s="51"/>
      <c r="K23" s="52" t="str">
        <f aca="false">IF(OR(H23="",H23=0),"",J23/H23)</f>
        <v/>
      </c>
      <c r="L23" s="48"/>
      <c r="M23" s="48"/>
      <c r="N23" s="50" t="str">
        <f aca="false">IF(OR(M23="",M23=0),"",L23/M23)</f>
        <v/>
      </c>
      <c r="O23" s="53"/>
      <c r="P23" s="48"/>
      <c r="Q23" s="49"/>
      <c r="R23" s="48"/>
      <c r="S23" s="48"/>
      <c r="T23" s="48"/>
      <c r="U23" s="48"/>
    </row>
    <row r="24" customFormat="false" ht="15" hidden="false" customHeight="false" outlineLevel="0" collapsed="false">
      <c r="A24" s="23" t="s">
        <v>94</v>
      </c>
      <c r="B24" s="54" t="s">
        <v>93</v>
      </c>
      <c r="C24" s="63"/>
      <c r="D24" s="56"/>
      <c r="E24" s="57"/>
      <c r="F24" s="57"/>
      <c r="G24" s="56"/>
      <c r="H24" s="56"/>
      <c r="I24" s="58" t="str">
        <f aca="false">IF(D24="","",H24/D24)</f>
        <v/>
      </c>
      <c r="J24" s="59"/>
      <c r="K24" s="60" t="str">
        <f aca="false">IF(OR(H24="",H24=0),"",J24/H24)</f>
        <v/>
      </c>
      <c r="L24" s="56"/>
      <c r="M24" s="56"/>
      <c r="N24" s="58" t="str">
        <f aca="false">IF(OR(M24="",M24=0),"",L24/M24)</f>
        <v/>
      </c>
      <c r="O24" s="61"/>
      <c r="P24" s="56"/>
      <c r="Q24" s="57"/>
      <c r="R24" s="56"/>
      <c r="S24" s="56"/>
      <c r="T24" s="56"/>
      <c r="U24" s="56"/>
    </row>
    <row r="25" customFormat="false" ht="15" hidden="false" customHeight="false" outlineLevel="0" collapsed="false">
      <c r="A25" s="8" t="s">
        <v>95</v>
      </c>
      <c r="B25" s="46" t="s">
        <v>93</v>
      </c>
      <c r="C25" s="62"/>
      <c r="D25" s="48"/>
      <c r="E25" s="49"/>
      <c r="F25" s="49"/>
      <c r="G25" s="48"/>
      <c r="H25" s="48"/>
      <c r="I25" s="50" t="str">
        <f aca="false">IF(D25="","",H25/D25)</f>
        <v/>
      </c>
      <c r="J25" s="51"/>
      <c r="K25" s="52" t="str">
        <f aca="false">IF(OR(H25="",H25=0),"",J25/H25)</f>
        <v/>
      </c>
      <c r="L25" s="48"/>
      <c r="M25" s="48"/>
      <c r="N25" s="50" t="str">
        <f aca="false">IF(OR(M25="",M25=0),"",L25/M25)</f>
        <v/>
      </c>
      <c r="O25" s="53"/>
      <c r="P25" s="48"/>
      <c r="Q25" s="49"/>
      <c r="R25" s="48"/>
      <c r="S25" s="48"/>
      <c r="T25" s="48"/>
      <c r="U25" s="48"/>
    </row>
    <row r="26" customFormat="false" ht="15" hidden="false" customHeight="false" outlineLevel="0" collapsed="false">
      <c r="A26" s="23" t="s">
        <v>96</v>
      </c>
      <c r="B26" s="54" t="s">
        <v>97</v>
      </c>
      <c r="C26" s="63"/>
      <c r="D26" s="56"/>
      <c r="E26" s="57"/>
      <c r="F26" s="57"/>
      <c r="G26" s="56"/>
      <c r="H26" s="56"/>
      <c r="I26" s="58" t="str">
        <f aca="false">IF(D26="","",H26/D26)</f>
        <v/>
      </c>
      <c r="J26" s="59"/>
      <c r="K26" s="60" t="str">
        <f aca="false">IF(OR(H26="",H26=0),"",J26/H26)</f>
        <v/>
      </c>
      <c r="L26" s="56"/>
      <c r="M26" s="56"/>
      <c r="N26" s="58" t="str">
        <f aca="false">IF(OR(M26="",M26=0),"",L26/M26)</f>
        <v/>
      </c>
      <c r="O26" s="61"/>
      <c r="P26" s="56"/>
      <c r="Q26" s="57"/>
      <c r="R26" s="56"/>
      <c r="S26" s="56"/>
      <c r="T26" s="56"/>
      <c r="U26" s="56"/>
    </row>
    <row r="27" customFormat="false" ht="15" hidden="false" customHeight="false" outlineLevel="0" collapsed="false">
      <c r="A27" s="8" t="s">
        <v>98</v>
      </c>
      <c r="B27" s="46" t="s">
        <v>97</v>
      </c>
      <c r="C27" s="62"/>
      <c r="D27" s="48"/>
      <c r="E27" s="49"/>
      <c r="F27" s="49"/>
      <c r="G27" s="48"/>
      <c r="H27" s="48"/>
      <c r="I27" s="50" t="str">
        <f aca="false">IF(D27="","",H27/D27)</f>
        <v/>
      </c>
      <c r="J27" s="51"/>
      <c r="K27" s="52" t="str">
        <f aca="false">IF(OR(H27="",H27=0),"",J27/H27)</f>
        <v/>
      </c>
      <c r="L27" s="48"/>
      <c r="M27" s="48"/>
      <c r="N27" s="50" t="str">
        <f aca="false">IF(OR(M27="",M27=0),"",L27/M27)</f>
        <v/>
      </c>
      <c r="O27" s="53"/>
      <c r="P27" s="48"/>
      <c r="Q27" s="49"/>
      <c r="R27" s="48"/>
      <c r="S27" s="48"/>
      <c r="T27" s="48"/>
      <c r="U27" s="48"/>
    </row>
    <row r="28" customFormat="false" ht="15" hidden="false" customHeight="false" outlineLevel="0" collapsed="false">
      <c r="A28" s="23" t="s">
        <v>99</v>
      </c>
      <c r="B28" s="54" t="s">
        <v>97</v>
      </c>
      <c r="C28" s="63"/>
      <c r="D28" s="56"/>
      <c r="E28" s="57"/>
      <c r="F28" s="57"/>
      <c r="G28" s="56"/>
      <c r="H28" s="56"/>
      <c r="I28" s="58" t="str">
        <f aca="false">IF(D28="","",H28/D28)</f>
        <v/>
      </c>
      <c r="J28" s="59"/>
      <c r="K28" s="60" t="str">
        <f aca="false">IF(OR(H28="",H28=0),"",J28/H28)</f>
        <v/>
      </c>
      <c r="L28" s="56"/>
      <c r="M28" s="56"/>
      <c r="N28" s="58" t="str">
        <f aca="false">IF(OR(M28="",M28=0),"",L28/M28)</f>
        <v/>
      </c>
      <c r="O28" s="61"/>
      <c r="P28" s="56"/>
      <c r="Q28" s="57"/>
      <c r="R28" s="56"/>
      <c r="S28" s="56"/>
      <c r="T28" s="56"/>
      <c r="U28" s="56"/>
    </row>
    <row r="30" customFormat="false" ht="15" hidden="false" customHeight="true" outlineLevel="0" collapsed="false">
      <c r="A30" s="15" t="s">
        <v>100</v>
      </c>
      <c r="B30" s="15"/>
      <c r="C30" s="15"/>
      <c r="D30" s="15"/>
      <c r="E30" s="15"/>
      <c r="F30" s="15"/>
      <c r="G30" s="15"/>
      <c r="H30" s="15"/>
      <c r="I30" s="15"/>
      <c r="J30" s="15"/>
      <c r="K30" s="15"/>
      <c r="L30" s="15"/>
      <c r="M30" s="15"/>
      <c r="N30" s="15"/>
      <c r="O30" s="15"/>
      <c r="P30" s="15"/>
      <c r="Q30" s="15"/>
      <c r="R30" s="15"/>
      <c r="S30" s="15"/>
      <c r="T30" s="15"/>
      <c r="U30" s="15"/>
    </row>
  </sheetData>
  <autoFilter ref="A4:U28"/>
  <mergeCells count="3">
    <mergeCell ref="A1:U1"/>
    <mergeCell ref="A2:U2"/>
    <mergeCell ref="A30:U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3"/>
    <col collapsed="false" customWidth="true" hidden="false" outlineLevel="0" max="4" min="4" style="0" width="14"/>
    <col collapsed="false" customWidth="true" hidden="false" outlineLevel="0" max="6" min="5" style="0" width="12"/>
    <col collapsed="false" customWidth="true" hidden="false" outlineLevel="0" max="7" min="7" style="0" width="14"/>
    <col collapsed="false" customWidth="true" hidden="false" outlineLevel="0" max="8" min="8" style="0" width="13"/>
    <col collapsed="false" customWidth="true" hidden="false" outlineLevel="0" max="9" min="9" style="0" width="12"/>
  </cols>
  <sheetData>
    <row r="1" customFormat="false" ht="30" hidden="false" customHeight="true" outlineLevel="0" collapsed="false">
      <c r="A1" s="1" t="s">
        <v>101</v>
      </c>
      <c r="B1" s="1"/>
      <c r="C1" s="1"/>
      <c r="D1" s="1"/>
      <c r="E1" s="1"/>
      <c r="F1" s="1"/>
      <c r="G1" s="1"/>
      <c r="H1" s="1"/>
      <c r="I1" s="1"/>
    </row>
    <row r="2" customFormat="false" ht="18" hidden="false" customHeight="true" outlineLevel="0" collapsed="false">
      <c r="A2" s="2" t="s">
        <v>102</v>
      </c>
      <c r="B2" s="2"/>
      <c r="C2" s="2"/>
      <c r="D2" s="2"/>
      <c r="E2" s="2"/>
      <c r="F2" s="2"/>
      <c r="G2" s="2"/>
      <c r="H2" s="2"/>
      <c r="I2" s="2"/>
    </row>
    <row r="4" customFormat="false" ht="25.5" hidden="false" customHeight="true" outlineLevel="0" collapsed="false">
      <c r="A4" s="16" t="s">
        <v>57</v>
      </c>
      <c r="B4" s="16" t="s">
        <v>41</v>
      </c>
      <c r="C4" s="16" t="s">
        <v>43</v>
      </c>
      <c r="D4" s="16" t="s">
        <v>103</v>
      </c>
      <c r="E4" s="16" t="s">
        <v>104</v>
      </c>
      <c r="F4" s="16" t="s">
        <v>105</v>
      </c>
      <c r="G4" s="16" t="s">
        <v>49</v>
      </c>
      <c r="H4" s="16" t="s">
        <v>106</v>
      </c>
      <c r="I4" s="16" t="s">
        <v>53</v>
      </c>
    </row>
    <row r="5" customFormat="false" ht="15" hidden="false" customHeight="false" outlineLevel="0" collapsed="false">
      <c r="A5" s="9" t="str">
        <f aca="false">'KPI Monthly'!A5</f>
        <v>Month 1</v>
      </c>
      <c r="B5" s="19" t="str">
        <f aca="false">"n/a"</f>
        <v>n/a</v>
      </c>
      <c r="C5" s="19" t="str">
        <f aca="false">"n/a"</f>
        <v>n/a</v>
      </c>
      <c r="D5" s="64" t="str">
        <f aca="false">"n/a"</f>
        <v>n/a</v>
      </c>
      <c r="E5" s="19" t="str">
        <f aca="false">"n/a"</f>
        <v>n/a</v>
      </c>
      <c r="F5" s="19" t="str">
        <f aca="false">"n/a"</f>
        <v>n/a</v>
      </c>
      <c r="G5" s="19" t="str">
        <f aca="false">"n/a"</f>
        <v>n/a</v>
      </c>
      <c r="H5" s="19" t="str">
        <f aca="false">"n/a"</f>
        <v>n/a</v>
      </c>
      <c r="I5" s="19" t="str">
        <f aca="false">"n/a"</f>
        <v>n/a</v>
      </c>
    </row>
    <row r="6" customFormat="false" ht="15" hidden="false" customHeight="false" outlineLevel="0" collapsed="false">
      <c r="A6" s="65" t="str">
        <f aca="false">'KPI Monthly'!A6</f>
        <v>Month 2</v>
      </c>
      <c r="B6" s="26" t="n">
        <f aca="false">IF(OR('KPI Monthly'!D6="",'KPI Monthly'!D5="",'KPI Monthly'!D5=0),"",('KPI Monthly'!D6-'KPI Monthly'!D5)/'KPI Monthly'!D5)</f>
        <v>0.24</v>
      </c>
      <c r="C6" s="26" t="n">
        <f aca="false">IF(OR('KPI Monthly'!H6="",'KPI Monthly'!H5="",'KPI Monthly'!H5=0),"",('KPI Monthly'!H6-'KPI Monthly'!H5)/'KPI Monthly'!H5)</f>
        <v>0.366666666666667</v>
      </c>
      <c r="D6" s="66" t="n">
        <f aca="false">IF(OR('KPI Monthly'!I6="",'KPI Monthly'!I5=""),"",'KPI Monthly'!I6-'KPI Monthly'!I5)</f>
        <v>0.000612903225806451</v>
      </c>
      <c r="E6" s="26" t="n">
        <f aca="false">IF(OR('KPI Monthly'!J6="",'KPI Monthly'!J5="",'KPI Monthly'!J5=0),"",('KPI Monthly'!J6-'KPI Monthly'!J5)/'KPI Monthly'!J5)</f>
        <v>0.25</v>
      </c>
      <c r="F6" s="26" t="n">
        <f aca="false">IF(OR('KPI Monthly'!K6="",'KPI Monthly'!K5="",'KPI Monthly'!K5=0),"",('KPI Monthly'!K6-'KPI Monthly'!K5)/'KPI Monthly'!K5)</f>
        <v>-0.0853658536585366</v>
      </c>
      <c r="G6" s="26" t="n">
        <f aca="false">IF(OR('KPI Monthly'!L6="",'KPI Monthly'!L5="",'KPI Monthly'!L5=0),"",('KPI Monthly'!L6-'KPI Monthly'!L5)/'KPI Monthly'!L5)</f>
        <v>0.0875</v>
      </c>
      <c r="H6" s="26" t="n">
        <f aca="false">IF(OR('KPI Monthly'!Q6="",'KPI Monthly'!Q5=""),"",'KPI Monthly'!Q6-'KPI Monthly'!Q5)</f>
        <v>0.02</v>
      </c>
      <c r="I6" s="26" t="str">
        <f aca="false">IF(OR('KPI Monthly'!S6="",'KPI Monthly'!S5="",'KPI Monthly'!S5=0),"",('KPI Monthly'!S6-'KPI Monthly'!S5)/'KPI Monthly'!S5)</f>
        <v/>
      </c>
    </row>
    <row r="7" customFormat="false" ht="15" hidden="false" customHeight="false" outlineLevel="0" collapsed="false">
      <c r="A7" s="9" t="str">
        <f aca="false">'KPI Monthly'!A7</f>
        <v>Month 3</v>
      </c>
      <c r="B7" s="19" t="str">
        <f aca="false">IF(OR('KPI Monthly'!D7="",'KPI Monthly'!D6="",'KPI Monthly'!D6=0),"",('KPI Monthly'!D7-'KPI Monthly'!D6)/'KPI Monthly'!D6)</f>
        <v/>
      </c>
      <c r="C7" s="19" t="str">
        <f aca="false">IF(OR('KPI Monthly'!H7="",'KPI Monthly'!H6="",'KPI Monthly'!H6=0),"",('KPI Monthly'!H7-'KPI Monthly'!H6)/'KPI Monthly'!H6)</f>
        <v/>
      </c>
      <c r="D7" s="64" t="str">
        <f aca="false">IF(OR('KPI Monthly'!I7="",'KPI Monthly'!I6=""),"",'KPI Monthly'!I7-'KPI Monthly'!I6)</f>
        <v/>
      </c>
      <c r="E7" s="19" t="str">
        <f aca="false">IF(OR('KPI Monthly'!J7="",'KPI Monthly'!J6="",'KPI Monthly'!J6=0),"",('KPI Monthly'!J7-'KPI Monthly'!J6)/'KPI Monthly'!J6)</f>
        <v/>
      </c>
      <c r="F7" s="19" t="str">
        <f aca="false">IF(OR('KPI Monthly'!K7="",'KPI Monthly'!K6="",'KPI Monthly'!K6=0),"",('KPI Monthly'!K7-'KPI Monthly'!K6)/'KPI Monthly'!K6)</f>
        <v/>
      </c>
      <c r="G7" s="19" t="str">
        <f aca="false">IF(OR('KPI Monthly'!L7="",'KPI Monthly'!L6="",'KPI Monthly'!L6=0),"",('KPI Monthly'!L7-'KPI Monthly'!L6)/'KPI Monthly'!L6)</f>
        <v/>
      </c>
      <c r="H7" s="19" t="str">
        <f aca="false">IF(OR('KPI Monthly'!Q7="",'KPI Monthly'!Q6=""),"",'KPI Monthly'!Q7-'KPI Monthly'!Q6)</f>
        <v/>
      </c>
      <c r="I7" s="19" t="str">
        <f aca="false">IF(OR('KPI Monthly'!S7="",'KPI Monthly'!S6="",'KPI Monthly'!S6=0),"",('KPI Monthly'!S7-'KPI Monthly'!S6)/'KPI Monthly'!S6)</f>
        <v/>
      </c>
    </row>
    <row r="8" customFormat="false" ht="15" hidden="false" customHeight="false" outlineLevel="0" collapsed="false">
      <c r="A8" s="65" t="str">
        <f aca="false">'KPI Monthly'!A8</f>
        <v>Month 4</v>
      </c>
      <c r="B8" s="26" t="str">
        <f aca="false">IF(OR('KPI Monthly'!D8="",'KPI Monthly'!D7="",'KPI Monthly'!D7=0),"",('KPI Monthly'!D8-'KPI Monthly'!D7)/'KPI Monthly'!D7)</f>
        <v/>
      </c>
      <c r="C8" s="26" t="str">
        <f aca="false">IF(OR('KPI Monthly'!H8="",'KPI Monthly'!H7="",'KPI Monthly'!H7=0),"",('KPI Monthly'!H8-'KPI Monthly'!H7)/'KPI Monthly'!H7)</f>
        <v/>
      </c>
      <c r="D8" s="66" t="str">
        <f aca="false">IF(OR('KPI Monthly'!I8="",'KPI Monthly'!I7=""),"",'KPI Monthly'!I8-'KPI Monthly'!I7)</f>
        <v/>
      </c>
      <c r="E8" s="26" t="str">
        <f aca="false">IF(OR('KPI Monthly'!J8="",'KPI Monthly'!J7="",'KPI Monthly'!J7=0),"",('KPI Monthly'!J8-'KPI Monthly'!J7)/'KPI Monthly'!J7)</f>
        <v/>
      </c>
      <c r="F8" s="26" t="str">
        <f aca="false">IF(OR('KPI Monthly'!K8="",'KPI Monthly'!K7="",'KPI Monthly'!K7=0),"",('KPI Monthly'!K8-'KPI Monthly'!K7)/'KPI Monthly'!K7)</f>
        <v/>
      </c>
      <c r="G8" s="26" t="str">
        <f aca="false">IF(OR('KPI Monthly'!L8="",'KPI Monthly'!L7="",'KPI Monthly'!L7=0),"",('KPI Monthly'!L8-'KPI Monthly'!L7)/'KPI Monthly'!L7)</f>
        <v/>
      </c>
      <c r="H8" s="26" t="str">
        <f aca="false">IF(OR('KPI Monthly'!Q8="",'KPI Monthly'!Q7=""),"",'KPI Monthly'!Q8-'KPI Monthly'!Q7)</f>
        <v/>
      </c>
      <c r="I8" s="26" t="str">
        <f aca="false">IF(OR('KPI Monthly'!S8="",'KPI Monthly'!S7="",'KPI Monthly'!S7=0),"",('KPI Monthly'!S8-'KPI Monthly'!S7)/'KPI Monthly'!S7)</f>
        <v/>
      </c>
    </row>
    <row r="9" customFormat="false" ht="15" hidden="false" customHeight="false" outlineLevel="0" collapsed="false">
      <c r="A9" s="9" t="str">
        <f aca="false">'KPI Monthly'!A9</f>
        <v>Month 5</v>
      </c>
      <c r="B9" s="19" t="str">
        <f aca="false">IF(OR('KPI Monthly'!D9="",'KPI Monthly'!D8="",'KPI Monthly'!D8=0),"",('KPI Monthly'!D9-'KPI Monthly'!D8)/'KPI Monthly'!D8)</f>
        <v/>
      </c>
      <c r="C9" s="19" t="str">
        <f aca="false">IF(OR('KPI Monthly'!H9="",'KPI Monthly'!H8="",'KPI Monthly'!H8=0),"",('KPI Monthly'!H9-'KPI Monthly'!H8)/'KPI Monthly'!H8)</f>
        <v/>
      </c>
      <c r="D9" s="64" t="str">
        <f aca="false">IF(OR('KPI Monthly'!I9="",'KPI Monthly'!I8=""),"",'KPI Monthly'!I9-'KPI Monthly'!I8)</f>
        <v/>
      </c>
      <c r="E9" s="19" t="str">
        <f aca="false">IF(OR('KPI Monthly'!J9="",'KPI Monthly'!J8="",'KPI Monthly'!J8=0),"",('KPI Monthly'!J9-'KPI Monthly'!J8)/'KPI Monthly'!J8)</f>
        <v/>
      </c>
      <c r="F9" s="19" t="str">
        <f aca="false">IF(OR('KPI Monthly'!K9="",'KPI Monthly'!K8="",'KPI Monthly'!K8=0),"",('KPI Monthly'!K9-'KPI Monthly'!K8)/'KPI Monthly'!K8)</f>
        <v/>
      </c>
      <c r="G9" s="19" t="str">
        <f aca="false">IF(OR('KPI Monthly'!L9="",'KPI Monthly'!L8="",'KPI Monthly'!L8=0),"",('KPI Monthly'!L9-'KPI Monthly'!L8)/'KPI Monthly'!L8)</f>
        <v/>
      </c>
      <c r="H9" s="19" t="str">
        <f aca="false">IF(OR('KPI Monthly'!Q9="",'KPI Monthly'!Q8=""),"",'KPI Monthly'!Q9-'KPI Monthly'!Q8)</f>
        <v/>
      </c>
      <c r="I9" s="19" t="str">
        <f aca="false">IF(OR('KPI Monthly'!S9="",'KPI Monthly'!S8="",'KPI Monthly'!S8=0),"",('KPI Monthly'!S9-'KPI Monthly'!S8)/'KPI Monthly'!S8)</f>
        <v/>
      </c>
    </row>
    <row r="10" customFormat="false" ht="15" hidden="false" customHeight="false" outlineLevel="0" collapsed="false">
      <c r="A10" s="65" t="str">
        <f aca="false">'KPI Monthly'!A10</f>
        <v>Month 6</v>
      </c>
      <c r="B10" s="26" t="str">
        <f aca="false">IF(OR('KPI Monthly'!D10="",'KPI Monthly'!D9="",'KPI Monthly'!D9=0),"",('KPI Monthly'!D10-'KPI Monthly'!D9)/'KPI Monthly'!D9)</f>
        <v/>
      </c>
      <c r="C10" s="26" t="str">
        <f aca="false">IF(OR('KPI Monthly'!H10="",'KPI Monthly'!H9="",'KPI Monthly'!H9=0),"",('KPI Monthly'!H10-'KPI Monthly'!H9)/'KPI Monthly'!H9)</f>
        <v/>
      </c>
      <c r="D10" s="66" t="str">
        <f aca="false">IF(OR('KPI Monthly'!I10="",'KPI Monthly'!I9=""),"",'KPI Monthly'!I10-'KPI Monthly'!I9)</f>
        <v/>
      </c>
      <c r="E10" s="26" t="str">
        <f aca="false">IF(OR('KPI Monthly'!J10="",'KPI Monthly'!J9="",'KPI Monthly'!J9=0),"",('KPI Monthly'!J10-'KPI Monthly'!J9)/'KPI Monthly'!J9)</f>
        <v/>
      </c>
      <c r="F10" s="26" t="str">
        <f aca="false">IF(OR('KPI Monthly'!K10="",'KPI Monthly'!K9="",'KPI Monthly'!K9=0),"",('KPI Monthly'!K10-'KPI Monthly'!K9)/'KPI Monthly'!K9)</f>
        <v/>
      </c>
      <c r="G10" s="26" t="str">
        <f aca="false">IF(OR('KPI Monthly'!L10="",'KPI Monthly'!L9="",'KPI Monthly'!L9=0),"",('KPI Monthly'!L10-'KPI Monthly'!L9)/'KPI Monthly'!L9)</f>
        <v/>
      </c>
      <c r="H10" s="26" t="str">
        <f aca="false">IF(OR('KPI Monthly'!Q10="",'KPI Monthly'!Q9=""),"",'KPI Monthly'!Q10-'KPI Monthly'!Q9)</f>
        <v/>
      </c>
      <c r="I10" s="26" t="str">
        <f aca="false">IF(OR('KPI Monthly'!S10="",'KPI Monthly'!S9="",'KPI Monthly'!S9=0),"",('KPI Monthly'!S10-'KPI Monthly'!S9)/'KPI Monthly'!S9)</f>
        <v/>
      </c>
    </row>
    <row r="11" customFormat="false" ht="15" hidden="false" customHeight="false" outlineLevel="0" collapsed="false">
      <c r="A11" s="9" t="str">
        <f aca="false">'KPI Monthly'!A11</f>
        <v>Month 7</v>
      </c>
      <c r="B11" s="19" t="str">
        <f aca="false">IF(OR('KPI Monthly'!D11="",'KPI Monthly'!D10="",'KPI Monthly'!D10=0),"",('KPI Monthly'!D11-'KPI Monthly'!D10)/'KPI Monthly'!D10)</f>
        <v/>
      </c>
      <c r="C11" s="19" t="str">
        <f aca="false">IF(OR('KPI Monthly'!H11="",'KPI Monthly'!H10="",'KPI Monthly'!H10=0),"",('KPI Monthly'!H11-'KPI Monthly'!H10)/'KPI Monthly'!H10)</f>
        <v/>
      </c>
      <c r="D11" s="64" t="str">
        <f aca="false">IF(OR('KPI Monthly'!I11="",'KPI Monthly'!I10=""),"",'KPI Monthly'!I11-'KPI Monthly'!I10)</f>
        <v/>
      </c>
      <c r="E11" s="19" t="str">
        <f aca="false">IF(OR('KPI Monthly'!J11="",'KPI Monthly'!J10="",'KPI Monthly'!J10=0),"",('KPI Monthly'!J11-'KPI Monthly'!J10)/'KPI Monthly'!J10)</f>
        <v/>
      </c>
      <c r="F11" s="19" t="str">
        <f aca="false">IF(OR('KPI Monthly'!K11="",'KPI Monthly'!K10="",'KPI Monthly'!K10=0),"",('KPI Monthly'!K11-'KPI Monthly'!K10)/'KPI Monthly'!K10)</f>
        <v/>
      </c>
      <c r="G11" s="19" t="str">
        <f aca="false">IF(OR('KPI Monthly'!L11="",'KPI Monthly'!L10="",'KPI Monthly'!L10=0),"",('KPI Monthly'!L11-'KPI Monthly'!L10)/'KPI Monthly'!L10)</f>
        <v/>
      </c>
      <c r="H11" s="19" t="str">
        <f aca="false">IF(OR('KPI Monthly'!Q11="",'KPI Monthly'!Q10=""),"",'KPI Monthly'!Q11-'KPI Monthly'!Q10)</f>
        <v/>
      </c>
      <c r="I11" s="19" t="str">
        <f aca="false">IF(OR('KPI Monthly'!S11="",'KPI Monthly'!S10="",'KPI Monthly'!S10=0),"",('KPI Monthly'!S11-'KPI Monthly'!S10)/'KPI Monthly'!S10)</f>
        <v/>
      </c>
    </row>
    <row r="12" customFormat="false" ht="15" hidden="false" customHeight="false" outlineLevel="0" collapsed="false">
      <c r="A12" s="65" t="str">
        <f aca="false">'KPI Monthly'!A12</f>
        <v>Month 8</v>
      </c>
      <c r="B12" s="26" t="str">
        <f aca="false">IF(OR('KPI Monthly'!D12="",'KPI Monthly'!D11="",'KPI Monthly'!D11=0),"",('KPI Monthly'!D12-'KPI Monthly'!D11)/'KPI Monthly'!D11)</f>
        <v/>
      </c>
      <c r="C12" s="26" t="str">
        <f aca="false">IF(OR('KPI Monthly'!H12="",'KPI Monthly'!H11="",'KPI Monthly'!H11=0),"",('KPI Monthly'!H12-'KPI Monthly'!H11)/'KPI Monthly'!H11)</f>
        <v/>
      </c>
      <c r="D12" s="66" t="str">
        <f aca="false">IF(OR('KPI Monthly'!I12="",'KPI Monthly'!I11=""),"",'KPI Monthly'!I12-'KPI Monthly'!I11)</f>
        <v/>
      </c>
      <c r="E12" s="26" t="str">
        <f aca="false">IF(OR('KPI Monthly'!J12="",'KPI Monthly'!J11="",'KPI Monthly'!J11=0),"",('KPI Monthly'!J12-'KPI Monthly'!J11)/'KPI Monthly'!J11)</f>
        <v/>
      </c>
      <c r="F12" s="26" t="str">
        <f aca="false">IF(OR('KPI Monthly'!K12="",'KPI Monthly'!K11="",'KPI Monthly'!K11=0),"",('KPI Monthly'!K12-'KPI Monthly'!K11)/'KPI Monthly'!K11)</f>
        <v/>
      </c>
      <c r="G12" s="26" t="str">
        <f aca="false">IF(OR('KPI Monthly'!L12="",'KPI Monthly'!L11="",'KPI Monthly'!L11=0),"",('KPI Monthly'!L12-'KPI Monthly'!L11)/'KPI Monthly'!L11)</f>
        <v/>
      </c>
      <c r="H12" s="26" t="str">
        <f aca="false">IF(OR('KPI Monthly'!Q12="",'KPI Monthly'!Q11=""),"",'KPI Monthly'!Q12-'KPI Monthly'!Q11)</f>
        <v/>
      </c>
      <c r="I12" s="26" t="str">
        <f aca="false">IF(OR('KPI Monthly'!S12="",'KPI Monthly'!S11="",'KPI Monthly'!S11=0),"",('KPI Monthly'!S12-'KPI Monthly'!S11)/'KPI Monthly'!S11)</f>
        <v/>
      </c>
    </row>
    <row r="13" customFormat="false" ht="15" hidden="false" customHeight="false" outlineLevel="0" collapsed="false">
      <c r="A13" s="9" t="str">
        <f aca="false">'KPI Monthly'!A13</f>
        <v>Month 9</v>
      </c>
      <c r="B13" s="19" t="str">
        <f aca="false">IF(OR('KPI Monthly'!D13="",'KPI Monthly'!D12="",'KPI Monthly'!D12=0),"",('KPI Monthly'!D13-'KPI Monthly'!D12)/'KPI Monthly'!D12)</f>
        <v/>
      </c>
      <c r="C13" s="19" t="str">
        <f aca="false">IF(OR('KPI Monthly'!H13="",'KPI Monthly'!H12="",'KPI Monthly'!H12=0),"",('KPI Monthly'!H13-'KPI Monthly'!H12)/'KPI Monthly'!H12)</f>
        <v/>
      </c>
      <c r="D13" s="64" t="str">
        <f aca="false">IF(OR('KPI Monthly'!I13="",'KPI Monthly'!I12=""),"",'KPI Monthly'!I13-'KPI Monthly'!I12)</f>
        <v/>
      </c>
      <c r="E13" s="19" t="str">
        <f aca="false">IF(OR('KPI Monthly'!J13="",'KPI Monthly'!J12="",'KPI Monthly'!J12=0),"",('KPI Monthly'!J13-'KPI Monthly'!J12)/'KPI Monthly'!J12)</f>
        <v/>
      </c>
      <c r="F13" s="19" t="str">
        <f aca="false">IF(OR('KPI Monthly'!K13="",'KPI Monthly'!K12="",'KPI Monthly'!K12=0),"",('KPI Monthly'!K13-'KPI Monthly'!K12)/'KPI Monthly'!K12)</f>
        <v/>
      </c>
      <c r="G13" s="19" t="str">
        <f aca="false">IF(OR('KPI Monthly'!L13="",'KPI Monthly'!L12="",'KPI Monthly'!L12=0),"",('KPI Monthly'!L13-'KPI Monthly'!L12)/'KPI Monthly'!L12)</f>
        <v/>
      </c>
      <c r="H13" s="19" t="str">
        <f aca="false">IF(OR('KPI Monthly'!Q13="",'KPI Monthly'!Q12=""),"",'KPI Monthly'!Q13-'KPI Monthly'!Q12)</f>
        <v/>
      </c>
      <c r="I13" s="19" t="str">
        <f aca="false">IF(OR('KPI Monthly'!S13="",'KPI Monthly'!S12="",'KPI Monthly'!S12=0),"",('KPI Monthly'!S13-'KPI Monthly'!S12)/'KPI Monthly'!S12)</f>
        <v/>
      </c>
    </row>
    <row r="14" customFormat="false" ht="15" hidden="false" customHeight="false" outlineLevel="0" collapsed="false">
      <c r="A14" s="65" t="str">
        <f aca="false">'KPI Monthly'!A14</f>
        <v>Month 10</v>
      </c>
      <c r="B14" s="26" t="str">
        <f aca="false">IF(OR('KPI Monthly'!D14="",'KPI Monthly'!D13="",'KPI Monthly'!D13=0),"",('KPI Monthly'!D14-'KPI Monthly'!D13)/'KPI Monthly'!D13)</f>
        <v/>
      </c>
      <c r="C14" s="26" t="str">
        <f aca="false">IF(OR('KPI Monthly'!H14="",'KPI Monthly'!H13="",'KPI Monthly'!H13=0),"",('KPI Monthly'!H14-'KPI Monthly'!H13)/'KPI Monthly'!H13)</f>
        <v/>
      </c>
      <c r="D14" s="66" t="str">
        <f aca="false">IF(OR('KPI Monthly'!I14="",'KPI Monthly'!I13=""),"",'KPI Monthly'!I14-'KPI Monthly'!I13)</f>
        <v/>
      </c>
      <c r="E14" s="26" t="str">
        <f aca="false">IF(OR('KPI Monthly'!J14="",'KPI Monthly'!J13="",'KPI Monthly'!J13=0),"",('KPI Monthly'!J14-'KPI Monthly'!J13)/'KPI Monthly'!J13)</f>
        <v/>
      </c>
      <c r="F14" s="26" t="str">
        <f aca="false">IF(OR('KPI Monthly'!K14="",'KPI Monthly'!K13="",'KPI Monthly'!K13=0),"",('KPI Monthly'!K14-'KPI Monthly'!K13)/'KPI Monthly'!K13)</f>
        <v/>
      </c>
      <c r="G14" s="26" t="str">
        <f aca="false">IF(OR('KPI Monthly'!L14="",'KPI Monthly'!L13="",'KPI Monthly'!L13=0),"",('KPI Monthly'!L14-'KPI Monthly'!L13)/'KPI Monthly'!L13)</f>
        <v/>
      </c>
      <c r="H14" s="26" t="str">
        <f aca="false">IF(OR('KPI Monthly'!Q14="",'KPI Monthly'!Q13=""),"",'KPI Monthly'!Q14-'KPI Monthly'!Q13)</f>
        <v/>
      </c>
      <c r="I14" s="26" t="str">
        <f aca="false">IF(OR('KPI Monthly'!S14="",'KPI Monthly'!S13="",'KPI Monthly'!S13=0),"",('KPI Monthly'!S14-'KPI Monthly'!S13)/'KPI Monthly'!S13)</f>
        <v/>
      </c>
    </row>
    <row r="15" customFormat="false" ht="15" hidden="false" customHeight="false" outlineLevel="0" collapsed="false">
      <c r="A15" s="9" t="str">
        <f aca="false">'KPI Monthly'!A15</f>
        <v>Month 11</v>
      </c>
      <c r="B15" s="19" t="str">
        <f aca="false">IF(OR('KPI Monthly'!D15="",'KPI Monthly'!D14="",'KPI Monthly'!D14=0),"",('KPI Monthly'!D15-'KPI Monthly'!D14)/'KPI Monthly'!D14)</f>
        <v/>
      </c>
      <c r="C15" s="19" t="str">
        <f aca="false">IF(OR('KPI Monthly'!H15="",'KPI Monthly'!H14="",'KPI Monthly'!H14=0),"",('KPI Monthly'!H15-'KPI Monthly'!H14)/'KPI Monthly'!H14)</f>
        <v/>
      </c>
      <c r="D15" s="64" t="str">
        <f aca="false">IF(OR('KPI Monthly'!I15="",'KPI Monthly'!I14=""),"",'KPI Monthly'!I15-'KPI Monthly'!I14)</f>
        <v/>
      </c>
      <c r="E15" s="19" t="str">
        <f aca="false">IF(OR('KPI Monthly'!J15="",'KPI Monthly'!J14="",'KPI Monthly'!J14=0),"",('KPI Monthly'!J15-'KPI Monthly'!J14)/'KPI Monthly'!J14)</f>
        <v/>
      </c>
      <c r="F15" s="19" t="str">
        <f aca="false">IF(OR('KPI Monthly'!K15="",'KPI Monthly'!K14="",'KPI Monthly'!K14=0),"",('KPI Monthly'!K15-'KPI Monthly'!K14)/'KPI Monthly'!K14)</f>
        <v/>
      </c>
      <c r="G15" s="19" t="str">
        <f aca="false">IF(OR('KPI Monthly'!L15="",'KPI Monthly'!L14="",'KPI Monthly'!L14=0),"",('KPI Monthly'!L15-'KPI Monthly'!L14)/'KPI Monthly'!L14)</f>
        <v/>
      </c>
      <c r="H15" s="19" t="str">
        <f aca="false">IF(OR('KPI Monthly'!Q15="",'KPI Monthly'!Q14=""),"",'KPI Monthly'!Q15-'KPI Monthly'!Q14)</f>
        <v/>
      </c>
      <c r="I15" s="19" t="str">
        <f aca="false">IF(OR('KPI Monthly'!S15="",'KPI Monthly'!S14="",'KPI Monthly'!S14=0),"",('KPI Monthly'!S15-'KPI Monthly'!S14)/'KPI Monthly'!S14)</f>
        <v/>
      </c>
    </row>
    <row r="16" customFormat="false" ht="15" hidden="false" customHeight="false" outlineLevel="0" collapsed="false">
      <c r="A16" s="65" t="str">
        <f aca="false">'KPI Monthly'!A16</f>
        <v>Month 12</v>
      </c>
      <c r="B16" s="26" t="str">
        <f aca="false">IF(OR('KPI Monthly'!D16="",'KPI Monthly'!D15="",'KPI Monthly'!D15=0),"",('KPI Monthly'!D16-'KPI Monthly'!D15)/'KPI Monthly'!D15)</f>
        <v/>
      </c>
      <c r="C16" s="26" t="str">
        <f aca="false">IF(OR('KPI Monthly'!H16="",'KPI Monthly'!H15="",'KPI Monthly'!H15=0),"",('KPI Monthly'!H16-'KPI Monthly'!H15)/'KPI Monthly'!H15)</f>
        <v/>
      </c>
      <c r="D16" s="66" t="str">
        <f aca="false">IF(OR('KPI Monthly'!I16="",'KPI Monthly'!I15=""),"",'KPI Monthly'!I16-'KPI Monthly'!I15)</f>
        <v/>
      </c>
      <c r="E16" s="26" t="str">
        <f aca="false">IF(OR('KPI Monthly'!J16="",'KPI Monthly'!J15="",'KPI Monthly'!J15=0),"",('KPI Monthly'!J16-'KPI Monthly'!J15)/'KPI Monthly'!J15)</f>
        <v/>
      </c>
      <c r="F16" s="26" t="str">
        <f aca="false">IF(OR('KPI Monthly'!K16="",'KPI Monthly'!K15="",'KPI Monthly'!K15=0),"",('KPI Monthly'!K16-'KPI Monthly'!K15)/'KPI Monthly'!K15)</f>
        <v/>
      </c>
      <c r="G16" s="26" t="str">
        <f aca="false">IF(OR('KPI Monthly'!L16="",'KPI Monthly'!L15="",'KPI Monthly'!L15=0),"",('KPI Monthly'!L16-'KPI Monthly'!L15)/'KPI Monthly'!L15)</f>
        <v/>
      </c>
      <c r="H16" s="26" t="str">
        <f aca="false">IF(OR('KPI Monthly'!Q16="",'KPI Monthly'!Q15=""),"",'KPI Monthly'!Q16-'KPI Monthly'!Q15)</f>
        <v/>
      </c>
      <c r="I16" s="26" t="str">
        <f aca="false">IF(OR('KPI Monthly'!S16="",'KPI Monthly'!S15="",'KPI Monthly'!S15=0),"",('KPI Monthly'!S16-'KPI Monthly'!S15)/'KPI Monthly'!S15)</f>
        <v/>
      </c>
    </row>
    <row r="17" customFormat="false" ht="15" hidden="false" customHeight="false" outlineLevel="0" collapsed="false">
      <c r="A17" s="9" t="str">
        <f aca="false">'KPI Monthly'!A17</f>
        <v>Month 13</v>
      </c>
      <c r="B17" s="19" t="str">
        <f aca="false">IF(OR('KPI Monthly'!D17="",'KPI Monthly'!D16="",'KPI Monthly'!D16=0),"",('KPI Monthly'!D17-'KPI Monthly'!D16)/'KPI Monthly'!D16)</f>
        <v/>
      </c>
      <c r="C17" s="19" t="str">
        <f aca="false">IF(OR('KPI Monthly'!H17="",'KPI Monthly'!H16="",'KPI Monthly'!H16=0),"",('KPI Monthly'!H17-'KPI Monthly'!H16)/'KPI Monthly'!H16)</f>
        <v/>
      </c>
      <c r="D17" s="64" t="str">
        <f aca="false">IF(OR('KPI Monthly'!I17="",'KPI Monthly'!I16=""),"",'KPI Monthly'!I17-'KPI Monthly'!I16)</f>
        <v/>
      </c>
      <c r="E17" s="19" t="str">
        <f aca="false">IF(OR('KPI Monthly'!J17="",'KPI Monthly'!J16="",'KPI Monthly'!J16=0),"",('KPI Monthly'!J17-'KPI Monthly'!J16)/'KPI Monthly'!J16)</f>
        <v/>
      </c>
      <c r="F17" s="19" t="str">
        <f aca="false">IF(OR('KPI Monthly'!K17="",'KPI Monthly'!K16="",'KPI Monthly'!K16=0),"",('KPI Monthly'!K17-'KPI Monthly'!K16)/'KPI Monthly'!K16)</f>
        <v/>
      </c>
      <c r="G17" s="19" t="str">
        <f aca="false">IF(OR('KPI Monthly'!L17="",'KPI Monthly'!L16="",'KPI Monthly'!L16=0),"",('KPI Monthly'!L17-'KPI Monthly'!L16)/'KPI Monthly'!L16)</f>
        <v/>
      </c>
      <c r="H17" s="19" t="str">
        <f aca="false">IF(OR('KPI Monthly'!Q17="",'KPI Monthly'!Q16=""),"",'KPI Monthly'!Q17-'KPI Monthly'!Q16)</f>
        <v/>
      </c>
      <c r="I17" s="19" t="str">
        <f aca="false">IF(OR('KPI Monthly'!S17="",'KPI Monthly'!S16="",'KPI Monthly'!S16=0),"",('KPI Monthly'!S17-'KPI Monthly'!S16)/'KPI Monthly'!S16)</f>
        <v/>
      </c>
    </row>
    <row r="18" customFormat="false" ht="15" hidden="false" customHeight="false" outlineLevel="0" collapsed="false">
      <c r="A18" s="65" t="str">
        <f aca="false">'KPI Monthly'!A18</f>
        <v>Month 14</v>
      </c>
      <c r="B18" s="26" t="str">
        <f aca="false">IF(OR('KPI Monthly'!D18="",'KPI Monthly'!D17="",'KPI Monthly'!D17=0),"",('KPI Monthly'!D18-'KPI Monthly'!D17)/'KPI Monthly'!D17)</f>
        <v/>
      </c>
      <c r="C18" s="26" t="str">
        <f aca="false">IF(OR('KPI Monthly'!H18="",'KPI Monthly'!H17="",'KPI Monthly'!H17=0),"",('KPI Monthly'!H18-'KPI Monthly'!H17)/'KPI Monthly'!H17)</f>
        <v/>
      </c>
      <c r="D18" s="66" t="str">
        <f aca="false">IF(OR('KPI Monthly'!I18="",'KPI Monthly'!I17=""),"",'KPI Monthly'!I18-'KPI Monthly'!I17)</f>
        <v/>
      </c>
      <c r="E18" s="26" t="str">
        <f aca="false">IF(OR('KPI Monthly'!J18="",'KPI Monthly'!J17="",'KPI Monthly'!J17=0),"",('KPI Monthly'!J18-'KPI Monthly'!J17)/'KPI Monthly'!J17)</f>
        <v/>
      </c>
      <c r="F18" s="26" t="str">
        <f aca="false">IF(OR('KPI Monthly'!K18="",'KPI Monthly'!K17="",'KPI Monthly'!K17=0),"",('KPI Monthly'!K18-'KPI Monthly'!K17)/'KPI Monthly'!K17)</f>
        <v/>
      </c>
      <c r="G18" s="26" t="str">
        <f aca="false">IF(OR('KPI Monthly'!L18="",'KPI Monthly'!L17="",'KPI Monthly'!L17=0),"",('KPI Monthly'!L18-'KPI Monthly'!L17)/'KPI Monthly'!L17)</f>
        <v/>
      </c>
      <c r="H18" s="26" t="str">
        <f aca="false">IF(OR('KPI Monthly'!Q18="",'KPI Monthly'!Q17=""),"",'KPI Monthly'!Q18-'KPI Monthly'!Q17)</f>
        <v/>
      </c>
      <c r="I18" s="26" t="str">
        <f aca="false">IF(OR('KPI Monthly'!S18="",'KPI Monthly'!S17="",'KPI Monthly'!S17=0),"",('KPI Monthly'!S18-'KPI Monthly'!S17)/'KPI Monthly'!S17)</f>
        <v/>
      </c>
    </row>
    <row r="19" customFormat="false" ht="15" hidden="false" customHeight="false" outlineLevel="0" collapsed="false">
      <c r="A19" s="9" t="str">
        <f aca="false">'KPI Monthly'!A19</f>
        <v>Month 15</v>
      </c>
      <c r="B19" s="19" t="str">
        <f aca="false">IF(OR('KPI Monthly'!D19="",'KPI Monthly'!D18="",'KPI Monthly'!D18=0),"",('KPI Monthly'!D19-'KPI Monthly'!D18)/'KPI Monthly'!D18)</f>
        <v/>
      </c>
      <c r="C19" s="19" t="str">
        <f aca="false">IF(OR('KPI Monthly'!H19="",'KPI Monthly'!H18="",'KPI Monthly'!H18=0),"",('KPI Monthly'!H19-'KPI Monthly'!H18)/'KPI Monthly'!H18)</f>
        <v/>
      </c>
      <c r="D19" s="64" t="str">
        <f aca="false">IF(OR('KPI Monthly'!I19="",'KPI Monthly'!I18=""),"",'KPI Monthly'!I19-'KPI Monthly'!I18)</f>
        <v/>
      </c>
      <c r="E19" s="19" t="str">
        <f aca="false">IF(OR('KPI Monthly'!J19="",'KPI Monthly'!J18="",'KPI Monthly'!J18=0),"",('KPI Monthly'!J19-'KPI Monthly'!J18)/'KPI Monthly'!J18)</f>
        <v/>
      </c>
      <c r="F19" s="19" t="str">
        <f aca="false">IF(OR('KPI Monthly'!K19="",'KPI Monthly'!K18="",'KPI Monthly'!K18=0),"",('KPI Monthly'!K19-'KPI Monthly'!K18)/'KPI Monthly'!K18)</f>
        <v/>
      </c>
      <c r="G19" s="19" t="str">
        <f aca="false">IF(OR('KPI Monthly'!L19="",'KPI Monthly'!L18="",'KPI Monthly'!L18=0),"",('KPI Monthly'!L19-'KPI Monthly'!L18)/'KPI Monthly'!L18)</f>
        <v/>
      </c>
      <c r="H19" s="19" t="str">
        <f aca="false">IF(OR('KPI Monthly'!Q19="",'KPI Monthly'!Q18=""),"",'KPI Monthly'!Q19-'KPI Monthly'!Q18)</f>
        <v/>
      </c>
      <c r="I19" s="19" t="str">
        <f aca="false">IF(OR('KPI Monthly'!S19="",'KPI Monthly'!S18="",'KPI Monthly'!S18=0),"",('KPI Monthly'!S19-'KPI Monthly'!S18)/'KPI Monthly'!S18)</f>
        <v/>
      </c>
    </row>
    <row r="20" customFormat="false" ht="15" hidden="false" customHeight="false" outlineLevel="0" collapsed="false">
      <c r="A20" s="65" t="str">
        <f aca="false">'KPI Monthly'!A20</f>
        <v>Month 16</v>
      </c>
      <c r="B20" s="26" t="str">
        <f aca="false">IF(OR('KPI Monthly'!D20="",'KPI Monthly'!D19="",'KPI Monthly'!D19=0),"",('KPI Monthly'!D20-'KPI Monthly'!D19)/'KPI Monthly'!D19)</f>
        <v/>
      </c>
      <c r="C20" s="26" t="str">
        <f aca="false">IF(OR('KPI Monthly'!H20="",'KPI Monthly'!H19="",'KPI Monthly'!H19=0),"",('KPI Monthly'!H20-'KPI Monthly'!H19)/'KPI Monthly'!H19)</f>
        <v/>
      </c>
      <c r="D20" s="66" t="str">
        <f aca="false">IF(OR('KPI Monthly'!I20="",'KPI Monthly'!I19=""),"",'KPI Monthly'!I20-'KPI Monthly'!I19)</f>
        <v/>
      </c>
      <c r="E20" s="26" t="str">
        <f aca="false">IF(OR('KPI Monthly'!J20="",'KPI Monthly'!J19="",'KPI Monthly'!J19=0),"",('KPI Monthly'!J20-'KPI Monthly'!J19)/'KPI Monthly'!J19)</f>
        <v/>
      </c>
      <c r="F20" s="26" t="str">
        <f aca="false">IF(OR('KPI Monthly'!K20="",'KPI Monthly'!K19="",'KPI Monthly'!K19=0),"",('KPI Monthly'!K20-'KPI Monthly'!K19)/'KPI Monthly'!K19)</f>
        <v/>
      </c>
      <c r="G20" s="26" t="str">
        <f aca="false">IF(OR('KPI Monthly'!L20="",'KPI Monthly'!L19="",'KPI Monthly'!L19=0),"",('KPI Monthly'!L20-'KPI Monthly'!L19)/'KPI Monthly'!L19)</f>
        <v/>
      </c>
      <c r="H20" s="26" t="str">
        <f aca="false">IF(OR('KPI Monthly'!Q20="",'KPI Monthly'!Q19=""),"",'KPI Monthly'!Q20-'KPI Monthly'!Q19)</f>
        <v/>
      </c>
      <c r="I20" s="26" t="str">
        <f aca="false">IF(OR('KPI Monthly'!S20="",'KPI Monthly'!S19="",'KPI Monthly'!S19=0),"",('KPI Monthly'!S20-'KPI Monthly'!S19)/'KPI Monthly'!S19)</f>
        <v/>
      </c>
    </row>
    <row r="21" customFormat="false" ht="15" hidden="false" customHeight="false" outlineLevel="0" collapsed="false">
      <c r="A21" s="9" t="str">
        <f aca="false">'KPI Monthly'!A21</f>
        <v>Month 17</v>
      </c>
      <c r="B21" s="19" t="str">
        <f aca="false">IF(OR('KPI Monthly'!D21="",'KPI Monthly'!D20="",'KPI Monthly'!D20=0),"",('KPI Monthly'!D21-'KPI Monthly'!D20)/'KPI Monthly'!D20)</f>
        <v/>
      </c>
      <c r="C21" s="19" t="str">
        <f aca="false">IF(OR('KPI Monthly'!H21="",'KPI Monthly'!H20="",'KPI Monthly'!H20=0),"",('KPI Monthly'!H21-'KPI Monthly'!H20)/'KPI Monthly'!H20)</f>
        <v/>
      </c>
      <c r="D21" s="64" t="str">
        <f aca="false">IF(OR('KPI Monthly'!I21="",'KPI Monthly'!I20=""),"",'KPI Monthly'!I21-'KPI Monthly'!I20)</f>
        <v/>
      </c>
      <c r="E21" s="19" t="str">
        <f aca="false">IF(OR('KPI Monthly'!J21="",'KPI Monthly'!J20="",'KPI Monthly'!J20=0),"",('KPI Monthly'!J21-'KPI Monthly'!J20)/'KPI Monthly'!J20)</f>
        <v/>
      </c>
      <c r="F21" s="19" t="str">
        <f aca="false">IF(OR('KPI Monthly'!K21="",'KPI Monthly'!K20="",'KPI Monthly'!K20=0),"",('KPI Monthly'!K21-'KPI Monthly'!K20)/'KPI Monthly'!K20)</f>
        <v/>
      </c>
      <c r="G21" s="19" t="str">
        <f aca="false">IF(OR('KPI Monthly'!L21="",'KPI Monthly'!L20="",'KPI Monthly'!L20=0),"",('KPI Monthly'!L21-'KPI Monthly'!L20)/'KPI Monthly'!L20)</f>
        <v/>
      </c>
      <c r="H21" s="19" t="str">
        <f aca="false">IF(OR('KPI Monthly'!Q21="",'KPI Monthly'!Q20=""),"",'KPI Monthly'!Q21-'KPI Monthly'!Q20)</f>
        <v/>
      </c>
      <c r="I21" s="19" t="str">
        <f aca="false">IF(OR('KPI Monthly'!S21="",'KPI Monthly'!S20="",'KPI Monthly'!S20=0),"",('KPI Monthly'!S21-'KPI Monthly'!S20)/'KPI Monthly'!S20)</f>
        <v/>
      </c>
    </row>
    <row r="22" customFormat="false" ht="15" hidden="false" customHeight="false" outlineLevel="0" collapsed="false">
      <c r="A22" s="65" t="str">
        <f aca="false">'KPI Monthly'!A22</f>
        <v>Month 18</v>
      </c>
      <c r="B22" s="26" t="str">
        <f aca="false">IF(OR('KPI Monthly'!D22="",'KPI Monthly'!D21="",'KPI Monthly'!D21=0),"",('KPI Monthly'!D22-'KPI Monthly'!D21)/'KPI Monthly'!D21)</f>
        <v/>
      </c>
      <c r="C22" s="26" t="str">
        <f aca="false">IF(OR('KPI Monthly'!H22="",'KPI Monthly'!H21="",'KPI Monthly'!H21=0),"",('KPI Monthly'!H22-'KPI Monthly'!H21)/'KPI Monthly'!H21)</f>
        <v/>
      </c>
      <c r="D22" s="66" t="str">
        <f aca="false">IF(OR('KPI Monthly'!I22="",'KPI Monthly'!I21=""),"",'KPI Monthly'!I22-'KPI Monthly'!I21)</f>
        <v/>
      </c>
      <c r="E22" s="26" t="str">
        <f aca="false">IF(OR('KPI Monthly'!J22="",'KPI Monthly'!J21="",'KPI Monthly'!J21=0),"",('KPI Monthly'!J22-'KPI Monthly'!J21)/'KPI Monthly'!J21)</f>
        <v/>
      </c>
      <c r="F22" s="26" t="str">
        <f aca="false">IF(OR('KPI Monthly'!K22="",'KPI Monthly'!K21="",'KPI Monthly'!K21=0),"",('KPI Monthly'!K22-'KPI Monthly'!K21)/'KPI Monthly'!K21)</f>
        <v/>
      </c>
      <c r="G22" s="26" t="str">
        <f aca="false">IF(OR('KPI Monthly'!L22="",'KPI Monthly'!L21="",'KPI Monthly'!L21=0),"",('KPI Monthly'!L22-'KPI Monthly'!L21)/'KPI Monthly'!L21)</f>
        <v/>
      </c>
      <c r="H22" s="26" t="str">
        <f aca="false">IF(OR('KPI Monthly'!Q22="",'KPI Monthly'!Q21=""),"",'KPI Monthly'!Q22-'KPI Monthly'!Q21)</f>
        <v/>
      </c>
      <c r="I22" s="26" t="str">
        <f aca="false">IF(OR('KPI Monthly'!S22="",'KPI Monthly'!S21="",'KPI Monthly'!S21=0),"",('KPI Monthly'!S22-'KPI Monthly'!S21)/'KPI Monthly'!S21)</f>
        <v/>
      </c>
    </row>
    <row r="23" customFormat="false" ht="15" hidden="false" customHeight="false" outlineLevel="0" collapsed="false">
      <c r="A23" s="9" t="str">
        <f aca="false">'KPI Monthly'!A23</f>
        <v>Month 19</v>
      </c>
      <c r="B23" s="19" t="str">
        <f aca="false">IF(OR('KPI Monthly'!D23="",'KPI Monthly'!D22="",'KPI Monthly'!D22=0),"",('KPI Monthly'!D23-'KPI Monthly'!D22)/'KPI Monthly'!D22)</f>
        <v/>
      </c>
      <c r="C23" s="19" t="str">
        <f aca="false">IF(OR('KPI Monthly'!H23="",'KPI Monthly'!H22="",'KPI Monthly'!H22=0),"",('KPI Monthly'!H23-'KPI Monthly'!H22)/'KPI Monthly'!H22)</f>
        <v/>
      </c>
      <c r="D23" s="64" t="str">
        <f aca="false">IF(OR('KPI Monthly'!I23="",'KPI Monthly'!I22=""),"",'KPI Monthly'!I23-'KPI Monthly'!I22)</f>
        <v/>
      </c>
      <c r="E23" s="19" t="str">
        <f aca="false">IF(OR('KPI Monthly'!J23="",'KPI Monthly'!J22="",'KPI Monthly'!J22=0),"",('KPI Monthly'!J23-'KPI Monthly'!J22)/'KPI Monthly'!J22)</f>
        <v/>
      </c>
      <c r="F23" s="19" t="str">
        <f aca="false">IF(OR('KPI Monthly'!K23="",'KPI Monthly'!K22="",'KPI Monthly'!K22=0),"",('KPI Monthly'!K23-'KPI Monthly'!K22)/'KPI Monthly'!K22)</f>
        <v/>
      </c>
      <c r="G23" s="19" t="str">
        <f aca="false">IF(OR('KPI Monthly'!L23="",'KPI Monthly'!L22="",'KPI Monthly'!L22=0),"",('KPI Monthly'!L23-'KPI Monthly'!L22)/'KPI Monthly'!L22)</f>
        <v/>
      </c>
      <c r="H23" s="19" t="str">
        <f aca="false">IF(OR('KPI Monthly'!Q23="",'KPI Monthly'!Q22=""),"",'KPI Monthly'!Q23-'KPI Monthly'!Q22)</f>
        <v/>
      </c>
      <c r="I23" s="19" t="str">
        <f aca="false">IF(OR('KPI Monthly'!S23="",'KPI Monthly'!S22="",'KPI Monthly'!S22=0),"",('KPI Monthly'!S23-'KPI Monthly'!S22)/'KPI Monthly'!S22)</f>
        <v/>
      </c>
    </row>
    <row r="24" customFormat="false" ht="15" hidden="false" customHeight="false" outlineLevel="0" collapsed="false">
      <c r="A24" s="65" t="str">
        <f aca="false">'KPI Monthly'!A24</f>
        <v>Month 20</v>
      </c>
      <c r="B24" s="26" t="str">
        <f aca="false">IF(OR('KPI Monthly'!D24="",'KPI Monthly'!D23="",'KPI Monthly'!D23=0),"",('KPI Monthly'!D24-'KPI Monthly'!D23)/'KPI Monthly'!D23)</f>
        <v/>
      </c>
      <c r="C24" s="26" t="str">
        <f aca="false">IF(OR('KPI Monthly'!H24="",'KPI Monthly'!H23="",'KPI Monthly'!H23=0),"",('KPI Monthly'!H24-'KPI Monthly'!H23)/'KPI Monthly'!H23)</f>
        <v/>
      </c>
      <c r="D24" s="66" t="str">
        <f aca="false">IF(OR('KPI Monthly'!I24="",'KPI Monthly'!I23=""),"",'KPI Monthly'!I24-'KPI Monthly'!I23)</f>
        <v/>
      </c>
      <c r="E24" s="26" t="str">
        <f aca="false">IF(OR('KPI Monthly'!J24="",'KPI Monthly'!J23="",'KPI Monthly'!J23=0),"",('KPI Monthly'!J24-'KPI Monthly'!J23)/'KPI Monthly'!J23)</f>
        <v/>
      </c>
      <c r="F24" s="26" t="str">
        <f aca="false">IF(OR('KPI Monthly'!K24="",'KPI Monthly'!K23="",'KPI Monthly'!K23=0),"",('KPI Monthly'!K24-'KPI Monthly'!K23)/'KPI Monthly'!K23)</f>
        <v/>
      </c>
      <c r="G24" s="26" t="str">
        <f aca="false">IF(OR('KPI Monthly'!L24="",'KPI Monthly'!L23="",'KPI Monthly'!L23=0),"",('KPI Monthly'!L24-'KPI Monthly'!L23)/'KPI Monthly'!L23)</f>
        <v/>
      </c>
      <c r="H24" s="26" t="str">
        <f aca="false">IF(OR('KPI Monthly'!Q24="",'KPI Monthly'!Q23=""),"",'KPI Monthly'!Q24-'KPI Monthly'!Q23)</f>
        <v/>
      </c>
      <c r="I24" s="26" t="str">
        <f aca="false">IF(OR('KPI Monthly'!S24="",'KPI Monthly'!S23="",'KPI Monthly'!S23=0),"",('KPI Monthly'!S24-'KPI Monthly'!S23)/'KPI Monthly'!S23)</f>
        <v/>
      </c>
    </row>
    <row r="25" customFormat="false" ht="15" hidden="false" customHeight="false" outlineLevel="0" collapsed="false">
      <c r="A25" s="9" t="str">
        <f aca="false">'KPI Monthly'!A25</f>
        <v>Month 21</v>
      </c>
      <c r="B25" s="19" t="str">
        <f aca="false">IF(OR('KPI Monthly'!D25="",'KPI Monthly'!D24="",'KPI Monthly'!D24=0),"",('KPI Monthly'!D25-'KPI Monthly'!D24)/'KPI Monthly'!D24)</f>
        <v/>
      </c>
      <c r="C25" s="19" t="str">
        <f aca="false">IF(OR('KPI Monthly'!H25="",'KPI Monthly'!H24="",'KPI Monthly'!H24=0),"",('KPI Monthly'!H25-'KPI Monthly'!H24)/'KPI Monthly'!H24)</f>
        <v/>
      </c>
      <c r="D25" s="64" t="str">
        <f aca="false">IF(OR('KPI Monthly'!I25="",'KPI Monthly'!I24=""),"",'KPI Monthly'!I25-'KPI Monthly'!I24)</f>
        <v/>
      </c>
      <c r="E25" s="19" t="str">
        <f aca="false">IF(OR('KPI Monthly'!J25="",'KPI Monthly'!J24="",'KPI Monthly'!J24=0),"",('KPI Monthly'!J25-'KPI Monthly'!J24)/'KPI Monthly'!J24)</f>
        <v/>
      </c>
      <c r="F25" s="19" t="str">
        <f aca="false">IF(OR('KPI Monthly'!K25="",'KPI Monthly'!K24="",'KPI Monthly'!K24=0),"",('KPI Monthly'!K25-'KPI Monthly'!K24)/'KPI Monthly'!K24)</f>
        <v/>
      </c>
      <c r="G25" s="19" t="str">
        <f aca="false">IF(OR('KPI Monthly'!L25="",'KPI Monthly'!L24="",'KPI Monthly'!L24=0),"",('KPI Monthly'!L25-'KPI Monthly'!L24)/'KPI Monthly'!L24)</f>
        <v/>
      </c>
      <c r="H25" s="19" t="str">
        <f aca="false">IF(OR('KPI Monthly'!Q25="",'KPI Monthly'!Q24=""),"",'KPI Monthly'!Q25-'KPI Monthly'!Q24)</f>
        <v/>
      </c>
      <c r="I25" s="19" t="str">
        <f aca="false">IF(OR('KPI Monthly'!S25="",'KPI Monthly'!S24="",'KPI Monthly'!S24=0),"",('KPI Monthly'!S25-'KPI Monthly'!S24)/'KPI Monthly'!S24)</f>
        <v/>
      </c>
    </row>
    <row r="26" customFormat="false" ht="15" hidden="false" customHeight="false" outlineLevel="0" collapsed="false">
      <c r="A26" s="65" t="str">
        <f aca="false">'KPI Monthly'!A26</f>
        <v>Month 22</v>
      </c>
      <c r="B26" s="26" t="str">
        <f aca="false">IF(OR('KPI Monthly'!D26="",'KPI Monthly'!D25="",'KPI Monthly'!D25=0),"",('KPI Monthly'!D26-'KPI Monthly'!D25)/'KPI Monthly'!D25)</f>
        <v/>
      </c>
      <c r="C26" s="26" t="str">
        <f aca="false">IF(OR('KPI Monthly'!H26="",'KPI Monthly'!H25="",'KPI Monthly'!H25=0),"",('KPI Monthly'!H26-'KPI Monthly'!H25)/'KPI Monthly'!H25)</f>
        <v/>
      </c>
      <c r="D26" s="66" t="str">
        <f aca="false">IF(OR('KPI Monthly'!I26="",'KPI Monthly'!I25=""),"",'KPI Monthly'!I26-'KPI Monthly'!I25)</f>
        <v/>
      </c>
      <c r="E26" s="26" t="str">
        <f aca="false">IF(OR('KPI Monthly'!J26="",'KPI Monthly'!J25="",'KPI Monthly'!J25=0),"",('KPI Monthly'!J26-'KPI Monthly'!J25)/'KPI Monthly'!J25)</f>
        <v/>
      </c>
      <c r="F26" s="26" t="str">
        <f aca="false">IF(OR('KPI Monthly'!K26="",'KPI Monthly'!K25="",'KPI Monthly'!K25=0),"",('KPI Monthly'!K26-'KPI Monthly'!K25)/'KPI Monthly'!K25)</f>
        <v/>
      </c>
      <c r="G26" s="26" t="str">
        <f aca="false">IF(OR('KPI Monthly'!L26="",'KPI Monthly'!L25="",'KPI Monthly'!L25=0),"",('KPI Monthly'!L26-'KPI Monthly'!L25)/'KPI Monthly'!L25)</f>
        <v/>
      </c>
      <c r="H26" s="26" t="str">
        <f aca="false">IF(OR('KPI Monthly'!Q26="",'KPI Monthly'!Q25=""),"",'KPI Monthly'!Q26-'KPI Monthly'!Q25)</f>
        <v/>
      </c>
      <c r="I26" s="26" t="str">
        <f aca="false">IF(OR('KPI Monthly'!S26="",'KPI Monthly'!S25="",'KPI Monthly'!S25=0),"",('KPI Monthly'!S26-'KPI Monthly'!S25)/'KPI Monthly'!S25)</f>
        <v/>
      </c>
    </row>
    <row r="27" customFormat="false" ht="15" hidden="false" customHeight="false" outlineLevel="0" collapsed="false">
      <c r="A27" s="9" t="str">
        <f aca="false">'KPI Monthly'!A27</f>
        <v>Month 23</v>
      </c>
      <c r="B27" s="19" t="str">
        <f aca="false">IF(OR('KPI Monthly'!D27="",'KPI Monthly'!D26="",'KPI Monthly'!D26=0),"",('KPI Monthly'!D27-'KPI Monthly'!D26)/'KPI Monthly'!D26)</f>
        <v/>
      </c>
      <c r="C27" s="19" t="str">
        <f aca="false">IF(OR('KPI Monthly'!H27="",'KPI Monthly'!H26="",'KPI Monthly'!H26=0),"",('KPI Monthly'!H27-'KPI Monthly'!H26)/'KPI Monthly'!H26)</f>
        <v/>
      </c>
      <c r="D27" s="64" t="str">
        <f aca="false">IF(OR('KPI Monthly'!I27="",'KPI Monthly'!I26=""),"",'KPI Monthly'!I27-'KPI Monthly'!I26)</f>
        <v/>
      </c>
      <c r="E27" s="19" t="str">
        <f aca="false">IF(OR('KPI Monthly'!J27="",'KPI Monthly'!J26="",'KPI Monthly'!J26=0),"",('KPI Monthly'!J27-'KPI Monthly'!J26)/'KPI Monthly'!J26)</f>
        <v/>
      </c>
      <c r="F27" s="19" t="str">
        <f aca="false">IF(OR('KPI Monthly'!K27="",'KPI Monthly'!K26="",'KPI Monthly'!K26=0),"",('KPI Monthly'!K27-'KPI Monthly'!K26)/'KPI Monthly'!K26)</f>
        <v/>
      </c>
      <c r="G27" s="19" t="str">
        <f aca="false">IF(OR('KPI Monthly'!L27="",'KPI Monthly'!L26="",'KPI Monthly'!L26=0),"",('KPI Monthly'!L27-'KPI Monthly'!L26)/'KPI Monthly'!L26)</f>
        <v/>
      </c>
      <c r="H27" s="19" t="str">
        <f aca="false">IF(OR('KPI Monthly'!Q27="",'KPI Monthly'!Q26=""),"",'KPI Monthly'!Q27-'KPI Monthly'!Q26)</f>
        <v/>
      </c>
      <c r="I27" s="19" t="str">
        <f aca="false">IF(OR('KPI Monthly'!S27="",'KPI Monthly'!S26="",'KPI Monthly'!S26=0),"",('KPI Monthly'!S27-'KPI Monthly'!S26)/'KPI Monthly'!S26)</f>
        <v/>
      </c>
    </row>
    <row r="28" customFormat="false" ht="15" hidden="false" customHeight="false" outlineLevel="0" collapsed="false">
      <c r="A28" s="65" t="str">
        <f aca="false">'KPI Monthly'!A28</f>
        <v>Month 24</v>
      </c>
      <c r="B28" s="26" t="str">
        <f aca="false">IF(OR('KPI Monthly'!D28="",'KPI Monthly'!D27="",'KPI Monthly'!D27=0),"",('KPI Monthly'!D28-'KPI Monthly'!D27)/'KPI Monthly'!D27)</f>
        <v/>
      </c>
      <c r="C28" s="26" t="str">
        <f aca="false">IF(OR('KPI Monthly'!H28="",'KPI Monthly'!H27="",'KPI Monthly'!H27=0),"",('KPI Monthly'!H28-'KPI Monthly'!H27)/'KPI Monthly'!H27)</f>
        <v/>
      </c>
      <c r="D28" s="66" t="str">
        <f aca="false">IF(OR('KPI Monthly'!I28="",'KPI Monthly'!I27=""),"",'KPI Monthly'!I28-'KPI Monthly'!I27)</f>
        <v/>
      </c>
      <c r="E28" s="26" t="str">
        <f aca="false">IF(OR('KPI Monthly'!J28="",'KPI Monthly'!J27="",'KPI Monthly'!J27=0),"",('KPI Monthly'!J28-'KPI Monthly'!J27)/'KPI Monthly'!J27)</f>
        <v/>
      </c>
      <c r="F28" s="26" t="str">
        <f aca="false">IF(OR('KPI Monthly'!K28="",'KPI Monthly'!K27="",'KPI Monthly'!K27=0),"",('KPI Monthly'!K28-'KPI Monthly'!K27)/'KPI Monthly'!K27)</f>
        <v/>
      </c>
      <c r="G28" s="26" t="str">
        <f aca="false">IF(OR('KPI Monthly'!L28="",'KPI Monthly'!L27="",'KPI Monthly'!L27=0),"",('KPI Monthly'!L28-'KPI Monthly'!L27)/'KPI Monthly'!L27)</f>
        <v/>
      </c>
      <c r="H28" s="26" t="str">
        <f aca="false">IF(OR('KPI Monthly'!Q28="",'KPI Monthly'!Q27=""),"",'KPI Monthly'!Q28-'KPI Monthly'!Q27)</f>
        <v/>
      </c>
      <c r="I28" s="26" t="str">
        <f aca="false">IF(OR('KPI Monthly'!S28="",'KPI Monthly'!S27="",'KPI Monthly'!S27=0),"",('KPI Monthly'!S28-'KPI Monthly'!S27)/'KPI Monthly'!S27)</f>
        <v/>
      </c>
    </row>
    <row r="30" customFormat="false" ht="22.35" hidden="false" customHeight="true" outlineLevel="0" collapsed="false">
      <c r="A30" s="15" t="s">
        <v>107</v>
      </c>
      <c r="B30" s="15"/>
      <c r="C30" s="15"/>
      <c r="D30" s="15"/>
      <c r="E30" s="15"/>
      <c r="F30" s="15"/>
      <c r="G30" s="15"/>
      <c r="H30" s="15"/>
      <c r="I30" s="15"/>
    </row>
  </sheetData>
  <autoFilter ref="A4:I28"/>
  <mergeCells count="3">
    <mergeCell ref="A1:I1"/>
    <mergeCell ref="A2:I2"/>
    <mergeCell ref="A30:I30"/>
  </mergeCells>
  <conditionalFormatting sqref="B5:I28">
    <cfRule type="cellIs" priority="2" operator="greaterThan" aboveAverage="0" equalAverage="0" bottom="0" percent="0" rank="0" text="" dxfId="13">
      <formula>0</formula>
    </cfRule>
    <cfRule type="cellIs" priority="3" operator="lessThan" aboveAverage="0" equalAverage="0" bottom="0" percent="0" rank="0" text="" dxfId="1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3"/>
    <col collapsed="false" customWidth="true" hidden="false" outlineLevel="0" max="4" min="4" style="0" width="11"/>
    <col collapsed="false" customWidth="true" hidden="false" outlineLevel="0" max="5" min="5" style="0" width="12"/>
    <col collapsed="false" customWidth="true" hidden="false" outlineLevel="0" max="6" min="6" style="0" width="10"/>
    <col collapsed="false" customWidth="true" hidden="false" outlineLevel="0" max="8" min="7" style="0" width="12"/>
    <col collapsed="false" customWidth="true" hidden="false" outlineLevel="0" max="9" min="9" style="0" width="14"/>
    <col collapsed="false" customWidth="true" hidden="false" outlineLevel="0" max="10" min="10" style="0" width="11"/>
    <col collapsed="false" customWidth="true" hidden="false" outlineLevel="0" max="11" min="11" style="0" width="12"/>
  </cols>
  <sheetData>
    <row r="1" customFormat="false" ht="30" hidden="false" customHeight="true" outlineLevel="0" collapsed="false">
      <c r="A1" s="1" t="s">
        <v>108</v>
      </c>
      <c r="B1" s="1"/>
      <c r="C1" s="1"/>
      <c r="D1" s="1"/>
      <c r="E1" s="1"/>
      <c r="F1" s="1"/>
      <c r="G1" s="1"/>
      <c r="H1" s="1"/>
      <c r="I1" s="1"/>
      <c r="J1" s="1"/>
      <c r="K1" s="1"/>
    </row>
    <row r="2" customFormat="false" ht="18" hidden="false" customHeight="true" outlineLevel="0" collapsed="false">
      <c r="A2" s="2" t="s">
        <v>109</v>
      </c>
      <c r="B2" s="2"/>
      <c r="C2" s="2"/>
      <c r="D2" s="2"/>
      <c r="E2" s="2"/>
      <c r="F2" s="2"/>
      <c r="G2" s="2"/>
      <c r="H2" s="2"/>
      <c r="I2" s="2"/>
      <c r="J2" s="2"/>
      <c r="K2" s="2"/>
    </row>
    <row r="4" customFormat="false" ht="25.5" hidden="false" customHeight="true" outlineLevel="0" collapsed="false">
      <c r="A4" s="16" t="s">
        <v>58</v>
      </c>
      <c r="B4" s="16" t="s">
        <v>41</v>
      </c>
      <c r="C4" s="16" t="s">
        <v>43</v>
      </c>
      <c r="D4" s="16" t="s">
        <v>110</v>
      </c>
      <c r="E4" s="16" t="s">
        <v>111</v>
      </c>
      <c r="F4" s="16" t="s">
        <v>112</v>
      </c>
      <c r="G4" s="16" t="s">
        <v>104</v>
      </c>
      <c r="H4" s="16" t="s">
        <v>105</v>
      </c>
      <c r="I4" s="16" t="s">
        <v>49</v>
      </c>
      <c r="J4" s="16" t="s">
        <v>113</v>
      </c>
      <c r="K4" s="16" t="s">
        <v>53</v>
      </c>
    </row>
    <row r="5" customFormat="false" ht="15" hidden="false" customHeight="false" outlineLevel="0" collapsed="false">
      <c r="A5" s="8" t="s">
        <v>114</v>
      </c>
      <c r="B5" s="67" t="str">
        <f aca="false">IF(SUMIFS('KPI Monthly'!$D$5:$D$28,'KPI Monthly'!$B$5:$B$28,$A5)=0,"",SUMIFS('KPI Monthly'!$D$5:$D$28,'KPI Monthly'!$B$5:$B$28,$A5))</f>
        <v/>
      </c>
      <c r="C5" s="67" t="str">
        <f aca="false">IF(SUMIFS('KPI Monthly'!$H$5:$H$28,'KPI Monthly'!$B$5:$B$28,$A5)=0,"",SUMIFS('KPI Monthly'!$H$5:$H$28,'KPI Monthly'!$B$5:$B$28,$A5))</f>
        <v/>
      </c>
      <c r="D5" s="50" t="str">
        <f aca="false">IFERROR(AVERAGEIFS('KPI Monthly'!$I$5:$I$28,'KPI Monthly'!$B$5:$B$28,$A5),"")</f>
        <v/>
      </c>
      <c r="E5" s="68" t="str">
        <f aca="false">IFERROR(AVERAGEIFS('KPI Monthly'!$E$5:$E$28,'KPI Monthly'!$B$5:$B$28,$A5),"")</f>
        <v/>
      </c>
      <c r="F5" s="68" t="str">
        <f aca="false">IFERROR(AVERAGEIFS('KPI Monthly'!$F$5:$F$28,'KPI Monthly'!$B$5:$B$28,$A5),"")</f>
        <v/>
      </c>
      <c r="G5" s="69" t="str">
        <f aca="false">IF(SUMIFS('KPI Monthly'!$J$5:$J$28,'KPI Monthly'!$B$5:$B$28,$A5)=0,"",SUMIFS('KPI Monthly'!$J$5:$J$28,'KPI Monthly'!$B$5:$B$28,$A5))</f>
        <v/>
      </c>
      <c r="H5" s="52" t="str">
        <f aca="false">IF(SUMIFS('KPI Monthly'!$H$5:$H$28,'KPI Monthly'!$B$5:$B$28,$A5)=0,"",SUMIFS('KPI Monthly'!$J$5:$J$28,'KPI Monthly'!$B$5:$B$28,$A5)/SUMIFS('KPI Monthly'!$H$5:$H$28,'KPI Monthly'!$B$5:$B$28,$A5))</f>
        <v/>
      </c>
      <c r="I5" s="67" t="str">
        <f aca="false">IF(SUMIFS('KPI Monthly'!$L$5:$L$28,'KPI Monthly'!$B$5:$B$28,$A5)=0,"",SUMIFS('KPI Monthly'!$L$5:$L$28,'KPI Monthly'!$B$5:$B$28,$A5))</f>
        <v/>
      </c>
      <c r="J5" s="68" t="str">
        <f aca="false">IFERROR(AVERAGEIFS('KPI Monthly'!$Q$5:$Q$28,'KPI Monthly'!$B$5:$B$28,$A5),"")</f>
        <v/>
      </c>
      <c r="K5" s="67" t="str">
        <f aca="false">IF(SUMIFS('KPI Monthly'!$S$5:$S$28,'KPI Monthly'!$B$5:$B$28,$A5)=0,"",SUMIFS('KPI Monthly'!$S$5:$S$28,'KPI Monthly'!$B$5:$B$28,$A5))</f>
        <v/>
      </c>
    </row>
    <row r="6" customFormat="false" ht="15" hidden="false" customHeight="false" outlineLevel="0" collapsed="false">
      <c r="A6" s="23" t="s">
        <v>115</v>
      </c>
      <c r="B6" s="70" t="str">
        <f aca="false">IF(SUMIFS('KPI Monthly'!$D$5:$D$28,'KPI Monthly'!$B$5:$B$28,$A6)=0,"",SUMIFS('KPI Monthly'!$D$5:$D$28,'KPI Monthly'!$B$5:$B$28,$A6))</f>
        <v/>
      </c>
      <c r="C6" s="70" t="str">
        <f aca="false">IF(SUMIFS('KPI Monthly'!$H$5:$H$28,'KPI Monthly'!$B$5:$B$28,$A6)=0,"",SUMIFS('KPI Monthly'!$H$5:$H$28,'KPI Monthly'!$B$5:$B$28,$A6))</f>
        <v/>
      </c>
      <c r="D6" s="58" t="str">
        <f aca="false">IFERROR(AVERAGEIFS('KPI Monthly'!$I$5:$I$28,'KPI Monthly'!$B$5:$B$28,$A6),"")</f>
        <v/>
      </c>
      <c r="E6" s="71" t="str">
        <f aca="false">IFERROR(AVERAGEIFS('KPI Monthly'!$E$5:$E$28,'KPI Monthly'!$B$5:$B$28,$A6),"")</f>
        <v/>
      </c>
      <c r="F6" s="71" t="str">
        <f aca="false">IFERROR(AVERAGEIFS('KPI Monthly'!$F$5:$F$28,'KPI Monthly'!$B$5:$B$28,$A6),"")</f>
        <v/>
      </c>
      <c r="G6" s="72" t="str">
        <f aca="false">IF(SUMIFS('KPI Monthly'!$J$5:$J$28,'KPI Monthly'!$B$5:$B$28,$A6)=0,"",SUMIFS('KPI Monthly'!$J$5:$J$28,'KPI Monthly'!$B$5:$B$28,$A6))</f>
        <v/>
      </c>
      <c r="H6" s="60" t="str">
        <f aca="false">IF(SUMIFS('KPI Monthly'!$H$5:$H$28,'KPI Monthly'!$B$5:$B$28,$A6)=0,"",SUMIFS('KPI Monthly'!$J$5:$J$28,'KPI Monthly'!$B$5:$B$28,$A6)/SUMIFS('KPI Monthly'!$H$5:$H$28,'KPI Monthly'!$B$5:$B$28,$A6))</f>
        <v/>
      </c>
      <c r="I6" s="70" t="str">
        <f aca="false">IF(SUMIFS('KPI Monthly'!$L$5:$L$28,'KPI Monthly'!$B$5:$B$28,$A6)=0,"",SUMIFS('KPI Monthly'!$L$5:$L$28,'KPI Monthly'!$B$5:$B$28,$A6))</f>
        <v/>
      </c>
      <c r="J6" s="71" t="str">
        <f aca="false">IFERROR(AVERAGEIFS('KPI Monthly'!$Q$5:$Q$28,'KPI Monthly'!$B$5:$B$28,$A6),"")</f>
        <v/>
      </c>
      <c r="K6" s="70" t="str">
        <f aca="false">IF(SUMIFS('KPI Monthly'!$S$5:$S$28,'KPI Monthly'!$B$5:$B$28,$A6)=0,"",SUMIFS('KPI Monthly'!$S$5:$S$28,'KPI Monthly'!$B$5:$B$28,$A6))</f>
        <v/>
      </c>
    </row>
    <row r="7" customFormat="false" ht="15" hidden="false" customHeight="false" outlineLevel="0" collapsed="false">
      <c r="A7" s="8" t="s">
        <v>116</v>
      </c>
      <c r="B7" s="67" t="str">
        <f aca="false">IF(SUMIFS('KPI Monthly'!$D$5:$D$28,'KPI Monthly'!$B$5:$B$28,$A7)=0,"",SUMIFS('KPI Monthly'!$D$5:$D$28,'KPI Monthly'!$B$5:$B$28,$A7))</f>
        <v/>
      </c>
      <c r="C7" s="67" t="str">
        <f aca="false">IF(SUMIFS('KPI Monthly'!$H$5:$H$28,'KPI Monthly'!$B$5:$B$28,$A7)=0,"",SUMIFS('KPI Monthly'!$H$5:$H$28,'KPI Monthly'!$B$5:$B$28,$A7))</f>
        <v/>
      </c>
      <c r="D7" s="50" t="str">
        <f aca="false">IFERROR(AVERAGEIFS('KPI Monthly'!$I$5:$I$28,'KPI Monthly'!$B$5:$B$28,$A7),"")</f>
        <v/>
      </c>
      <c r="E7" s="68" t="str">
        <f aca="false">IFERROR(AVERAGEIFS('KPI Monthly'!$E$5:$E$28,'KPI Monthly'!$B$5:$B$28,$A7),"")</f>
        <v/>
      </c>
      <c r="F7" s="68" t="str">
        <f aca="false">IFERROR(AVERAGEIFS('KPI Monthly'!$F$5:$F$28,'KPI Monthly'!$B$5:$B$28,$A7),"")</f>
        <v/>
      </c>
      <c r="G7" s="69" t="str">
        <f aca="false">IF(SUMIFS('KPI Monthly'!$J$5:$J$28,'KPI Monthly'!$B$5:$B$28,$A7)=0,"",SUMIFS('KPI Monthly'!$J$5:$J$28,'KPI Monthly'!$B$5:$B$28,$A7))</f>
        <v/>
      </c>
      <c r="H7" s="52" t="str">
        <f aca="false">IF(SUMIFS('KPI Monthly'!$H$5:$H$28,'KPI Monthly'!$B$5:$B$28,$A7)=0,"",SUMIFS('KPI Monthly'!$J$5:$J$28,'KPI Monthly'!$B$5:$B$28,$A7)/SUMIFS('KPI Monthly'!$H$5:$H$28,'KPI Monthly'!$B$5:$B$28,$A7))</f>
        <v/>
      </c>
      <c r="I7" s="67" t="str">
        <f aca="false">IF(SUMIFS('KPI Monthly'!$L$5:$L$28,'KPI Monthly'!$B$5:$B$28,$A7)=0,"",SUMIFS('KPI Monthly'!$L$5:$L$28,'KPI Monthly'!$B$5:$B$28,$A7))</f>
        <v/>
      </c>
      <c r="J7" s="68" t="str">
        <f aca="false">IFERROR(AVERAGEIFS('KPI Monthly'!$Q$5:$Q$28,'KPI Monthly'!$B$5:$B$28,$A7),"")</f>
        <v/>
      </c>
      <c r="K7" s="67" t="str">
        <f aca="false">IF(SUMIFS('KPI Monthly'!$S$5:$S$28,'KPI Monthly'!$B$5:$B$28,$A7)=0,"",SUMIFS('KPI Monthly'!$S$5:$S$28,'KPI Monthly'!$B$5:$B$28,$A7))</f>
        <v/>
      </c>
    </row>
    <row r="8" customFormat="false" ht="15" hidden="false" customHeight="false" outlineLevel="0" collapsed="false">
      <c r="A8" s="23" t="s">
        <v>117</v>
      </c>
      <c r="B8" s="70" t="str">
        <f aca="false">IF(SUMIFS('KPI Monthly'!$D$5:$D$28,'KPI Monthly'!$B$5:$B$28,$A8)=0,"",SUMIFS('KPI Monthly'!$D$5:$D$28,'KPI Monthly'!$B$5:$B$28,$A8))</f>
        <v/>
      </c>
      <c r="C8" s="70" t="str">
        <f aca="false">IF(SUMIFS('KPI Monthly'!$H$5:$H$28,'KPI Monthly'!$B$5:$B$28,$A8)=0,"",SUMIFS('KPI Monthly'!$H$5:$H$28,'KPI Monthly'!$B$5:$B$28,$A8))</f>
        <v/>
      </c>
      <c r="D8" s="58" t="str">
        <f aca="false">IFERROR(AVERAGEIFS('KPI Monthly'!$I$5:$I$28,'KPI Monthly'!$B$5:$B$28,$A8),"")</f>
        <v/>
      </c>
      <c r="E8" s="71" t="str">
        <f aca="false">IFERROR(AVERAGEIFS('KPI Monthly'!$E$5:$E$28,'KPI Monthly'!$B$5:$B$28,$A8),"")</f>
        <v/>
      </c>
      <c r="F8" s="71" t="str">
        <f aca="false">IFERROR(AVERAGEIFS('KPI Monthly'!$F$5:$F$28,'KPI Monthly'!$B$5:$B$28,$A8),"")</f>
        <v/>
      </c>
      <c r="G8" s="72" t="str">
        <f aca="false">IF(SUMIFS('KPI Monthly'!$J$5:$J$28,'KPI Monthly'!$B$5:$B$28,$A8)=0,"",SUMIFS('KPI Monthly'!$J$5:$J$28,'KPI Monthly'!$B$5:$B$28,$A8))</f>
        <v/>
      </c>
      <c r="H8" s="60" t="str">
        <f aca="false">IF(SUMIFS('KPI Monthly'!$H$5:$H$28,'KPI Monthly'!$B$5:$B$28,$A8)=0,"",SUMIFS('KPI Monthly'!$J$5:$J$28,'KPI Monthly'!$B$5:$B$28,$A8)/SUMIFS('KPI Monthly'!$H$5:$H$28,'KPI Monthly'!$B$5:$B$28,$A8))</f>
        <v/>
      </c>
      <c r="I8" s="70" t="str">
        <f aca="false">IF(SUMIFS('KPI Monthly'!$L$5:$L$28,'KPI Monthly'!$B$5:$B$28,$A8)=0,"",SUMIFS('KPI Monthly'!$L$5:$L$28,'KPI Monthly'!$B$5:$B$28,$A8))</f>
        <v/>
      </c>
      <c r="J8" s="71" t="str">
        <f aca="false">IFERROR(AVERAGEIFS('KPI Monthly'!$Q$5:$Q$28,'KPI Monthly'!$B$5:$B$28,$A8),"")</f>
        <v/>
      </c>
      <c r="K8" s="70" t="str">
        <f aca="false">IF(SUMIFS('KPI Monthly'!$S$5:$S$28,'KPI Monthly'!$B$5:$B$28,$A8)=0,"",SUMIFS('KPI Monthly'!$S$5:$S$28,'KPI Monthly'!$B$5:$B$28,$A8))</f>
        <v/>
      </c>
    </row>
    <row r="9" customFormat="false" ht="15" hidden="false" customHeight="false" outlineLevel="0" collapsed="false">
      <c r="A9" s="8" t="s">
        <v>118</v>
      </c>
      <c r="B9" s="67" t="str">
        <f aca="false">IF(SUMIFS('KPI Monthly'!$D$5:$D$28,'KPI Monthly'!$B$5:$B$28,$A9)=0,"",SUMIFS('KPI Monthly'!$D$5:$D$28,'KPI Monthly'!$B$5:$B$28,$A9))</f>
        <v/>
      </c>
      <c r="C9" s="67" t="str">
        <f aca="false">IF(SUMIFS('KPI Monthly'!$H$5:$H$28,'KPI Monthly'!$B$5:$B$28,$A9)=0,"",SUMIFS('KPI Monthly'!$H$5:$H$28,'KPI Monthly'!$B$5:$B$28,$A9))</f>
        <v/>
      </c>
      <c r="D9" s="50" t="str">
        <f aca="false">IFERROR(AVERAGEIFS('KPI Monthly'!$I$5:$I$28,'KPI Monthly'!$B$5:$B$28,$A9),"")</f>
        <v/>
      </c>
      <c r="E9" s="68" t="str">
        <f aca="false">IFERROR(AVERAGEIFS('KPI Monthly'!$E$5:$E$28,'KPI Monthly'!$B$5:$B$28,$A9),"")</f>
        <v/>
      </c>
      <c r="F9" s="68" t="str">
        <f aca="false">IFERROR(AVERAGEIFS('KPI Monthly'!$F$5:$F$28,'KPI Monthly'!$B$5:$B$28,$A9),"")</f>
        <v/>
      </c>
      <c r="G9" s="69" t="str">
        <f aca="false">IF(SUMIFS('KPI Monthly'!$J$5:$J$28,'KPI Monthly'!$B$5:$B$28,$A9)=0,"",SUMIFS('KPI Monthly'!$J$5:$J$28,'KPI Monthly'!$B$5:$B$28,$A9))</f>
        <v/>
      </c>
      <c r="H9" s="52" t="str">
        <f aca="false">IF(SUMIFS('KPI Monthly'!$H$5:$H$28,'KPI Monthly'!$B$5:$B$28,$A9)=0,"",SUMIFS('KPI Monthly'!$J$5:$J$28,'KPI Monthly'!$B$5:$B$28,$A9)/SUMIFS('KPI Monthly'!$H$5:$H$28,'KPI Monthly'!$B$5:$B$28,$A9))</f>
        <v/>
      </c>
      <c r="I9" s="67" t="str">
        <f aca="false">IF(SUMIFS('KPI Monthly'!$L$5:$L$28,'KPI Monthly'!$B$5:$B$28,$A9)=0,"",SUMIFS('KPI Monthly'!$L$5:$L$28,'KPI Monthly'!$B$5:$B$28,$A9))</f>
        <v/>
      </c>
      <c r="J9" s="68" t="str">
        <f aca="false">IFERROR(AVERAGEIFS('KPI Monthly'!$Q$5:$Q$28,'KPI Monthly'!$B$5:$B$28,$A9),"")</f>
        <v/>
      </c>
      <c r="K9" s="67" t="str">
        <f aca="false">IF(SUMIFS('KPI Monthly'!$S$5:$S$28,'KPI Monthly'!$B$5:$B$28,$A9)=0,"",SUMIFS('KPI Monthly'!$S$5:$S$28,'KPI Monthly'!$B$5:$B$28,$A9))</f>
        <v/>
      </c>
    </row>
    <row r="10" customFormat="false" ht="15" hidden="false" customHeight="false" outlineLevel="0" collapsed="false">
      <c r="A10" s="23" t="s">
        <v>119</v>
      </c>
      <c r="B10" s="70" t="str">
        <f aca="false">IF(SUMIFS('KPI Monthly'!$D$5:$D$28,'KPI Monthly'!$B$5:$B$28,$A10)=0,"",SUMIFS('KPI Monthly'!$D$5:$D$28,'KPI Monthly'!$B$5:$B$28,$A10))</f>
        <v/>
      </c>
      <c r="C10" s="70" t="str">
        <f aca="false">IF(SUMIFS('KPI Monthly'!$H$5:$H$28,'KPI Monthly'!$B$5:$B$28,$A10)=0,"",SUMIFS('KPI Monthly'!$H$5:$H$28,'KPI Monthly'!$B$5:$B$28,$A10))</f>
        <v/>
      </c>
      <c r="D10" s="58" t="str">
        <f aca="false">IFERROR(AVERAGEIFS('KPI Monthly'!$I$5:$I$28,'KPI Monthly'!$B$5:$B$28,$A10),"")</f>
        <v/>
      </c>
      <c r="E10" s="71" t="str">
        <f aca="false">IFERROR(AVERAGEIFS('KPI Monthly'!$E$5:$E$28,'KPI Monthly'!$B$5:$B$28,$A10),"")</f>
        <v/>
      </c>
      <c r="F10" s="71" t="str">
        <f aca="false">IFERROR(AVERAGEIFS('KPI Monthly'!$F$5:$F$28,'KPI Monthly'!$B$5:$B$28,$A10),"")</f>
        <v/>
      </c>
      <c r="G10" s="72" t="str">
        <f aca="false">IF(SUMIFS('KPI Monthly'!$J$5:$J$28,'KPI Monthly'!$B$5:$B$28,$A10)=0,"",SUMIFS('KPI Monthly'!$J$5:$J$28,'KPI Monthly'!$B$5:$B$28,$A10))</f>
        <v/>
      </c>
      <c r="H10" s="60" t="str">
        <f aca="false">IF(SUMIFS('KPI Monthly'!$H$5:$H$28,'KPI Monthly'!$B$5:$B$28,$A10)=0,"",SUMIFS('KPI Monthly'!$J$5:$J$28,'KPI Monthly'!$B$5:$B$28,$A10)/SUMIFS('KPI Monthly'!$H$5:$H$28,'KPI Monthly'!$B$5:$B$28,$A10))</f>
        <v/>
      </c>
      <c r="I10" s="70" t="str">
        <f aca="false">IF(SUMIFS('KPI Monthly'!$L$5:$L$28,'KPI Monthly'!$B$5:$B$28,$A10)=0,"",SUMIFS('KPI Monthly'!$L$5:$L$28,'KPI Monthly'!$B$5:$B$28,$A10))</f>
        <v/>
      </c>
      <c r="J10" s="71" t="str">
        <f aca="false">IFERROR(AVERAGEIFS('KPI Monthly'!$Q$5:$Q$28,'KPI Monthly'!$B$5:$B$28,$A10),"")</f>
        <v/>
      </c>
      <c r="K10" s="70" t="str">
        <f aca="false">IF(SUMIFS('KPI Monthly'!$S$5:$S$28,'KPI Monthly'!$B$5:$B$28,$A10)=0,"",SUMIFS('KPI Monthly'!$S$5:$S$28,'KPI Monthly'!$B$5:$B$28,$A10))</f>
        <v/>
      </c>
    </row>
    <row r="11" customFormat="false" ht="15" hidden="false" customHeight="false" outlineLevel="0" collapsed="false">
      <c r="A11" s="8" t="s">
        <v>120</v>
      </c>
      <c r="B11" s="67" t="str">
        <f aca="false">IF(SUMIFS('KPI Monthly'!$D$5:$D$28,'KPI Monthly'!$B$5:$B$28,$A11)=0,"",SUMIFS('KPI Monthly'!$D$5:$D$28,'KPI Monthly'!$B$5:$B$28,$A11))</f>
        <v/>
      </c>
      <c r="C11" s="67" t="str">
        <f aca="false">IF(SUMIFS('KPI Monthly'!$H$5:$H$28,'KPI Monthly'!$B$5:$B$28,$A11)=0,"",SUMIFS('KPI Monthly'!$H$5:$H$28,'KPI Monthly'!$B$5:$B$28,$A11))</f>
        <v/>
      </c>
      <c r="D11" s="50" t="str">
        <f aca="false">IFERROR(AVERAGEIFS('KPI Monthly'!$I$5:$I$28,'KPI Monthly'!$B$5:$B$28,$A11),"")</f>
        <v/>
      </c>
      <c r="E11" s="68" t="str">
        <f aca="false">IFERROR(AVERAGEIFS('KPI Monthly'!$E$5:$E$28,'KPI Monthly'!$B$5:$B$28,$A11),"")</f>
        <v/>
      </c>
      <c r="F11" s="68" t="str">
        <f aca="false">IFERROR(AVERAGEIFS('KPI Monthly'!$F$5:$F$28,'KPI Monthly'!$B$5:$B$28,$A11),"")</f>
        <v/>
      </c>
      <c r="G11" s="69" t="str">
        <f aca="false">IF(SUMIFS('KPI Monthly'!$J$5:$J$28,'KPI Monthly'!$B$5:$B$28,$A11)=0,"",SUMIFS('KPI Monthly'!$J$5:$J$28,'KPI Monthly'!$B$5:$B$28,$A11))</f>
        <v/>
      </c>
      <c r="H11" s="52" t="str">
        <f aca="false">IF(SUMIFS('KPI Monthly'!$H$5:$H$28,'KPI Monthly'!$B$5:$B$28,$A11)=0,"",SUMIFS('KPI Monthly'!$J$5:$J$28,'KPI Monthly'!$B$5:$B$28,$A11)/SUMIFS('KPI Monthly'!$H$5:$H$28,'KPI Monthly'!$B$5:$B$28,$A11))</f>
        <v/>
      </c>
      <c r="I11" s="67" t="str">
        <f aca="false">IF(SUMIFS('KPI Monthly'!$L$5:$L$28,'KPI Monthly'!$B$5:$B$28,$A11)=0,"",SUMIFS('KPI Monthly'!$L$5:$L$28,'KPI Monthly'!$B$5:$B$28,$A11))</f>
        <v/>
      </c>
      <c r="J11" s="68" t="str">
        <f aca="false">IFERROR(AVERAGEIFS('KPI Monthly'!$Q$5:$Q$28,'KPI Monthly'!$B$5:$B$28,$A11),"")</f>
        <v/>
      </c>
      <c r="K11" s="67" t="str">
        <f aca="false">IF(SUMIFS('KPI Monthly'!$S$5:$S$28,'KPI Monthly'!$B$5:$B$28,$A11)=0,"",SUMIFS('KPI Monthly'!$S$5:$S$28,'KPI Monthly'!$B$5:$B$28,$A11))</f>
        <v/>
      </c>
    </row>
    <row r="12" customFormat="false" ht="15" hidden="false" customHeight="false" outlineLevel="0" collapsed="false">
      <c r="A12" s="23" t="s">
        <v>121</v>
      </c>
      <c r="B12" s="70" t="str">
        <f aca="false">IF(SUMIFS('KPI Monthly'!$D$5:$D$28,'KPI Monthly'!$B$5:$B$28,$A12)=0,"",SUMIFS('KPI Monthly'!$D$5:$D$28,'KPI Monthly'!$B$5:$B$28,$A12))</f>
        <v/>
      </c>
      <c r="C12" s="70" t="str">
        <f aca="false">IF(SUMIFS('KPI Monthly'!$H$5:$H$28,'KPI Monthly'!$B$5:$B$28,$A12)=0,"",SUMIFS('KPI Monthly'!$H$5:$H$28,'KPI Monthly'!$B$5:$B$28,$A12))</f>
        <v/>
      </c>
      <c r="D12" s="58" t="str">
        <f aca="false">IFERROR(AVERAGEIFS('KPI Monthly'!$I$5:$I$28,'KPI Monthly'!$B$5:$B$28,$A12),"")</f>
        <v/>
      </c>
      <c r="E12" s="71" t="str">
        <f aca="false">IFERROR(AVERAGEIFS('KPI Monthly'!$E$5:$E$28,'KPI Monthly'!$B$5:$B$28,$A12),"")</f>
        <v/>
      </c>
      <c r="F12" s="71" t="str">
        <f aca="false">IFERROR(AVERAGEIFS('KPI Monthly'!$F$5:$F$28,'KPI Monthly'!$B$5:$B$28,$A12),"")</f>
        <v/>
      </c>
      <c r="G12" s="72" t="str">
        <f aca="false">IF(SUMIFS('KPI Monthly'!$J$5:$J$28,'KPI Monthly'!$B$5:$B$28,$A12)=0,"",SUMIFS('KPI Monthly'!$J$5:$J$28,'KPI Monthly'!$B$5:$B$28,$A12))</f>
        <v/>
      </c>
      <c r="H12" s="60" t="str">
        <f aca="false">IF(SUMIFS('KPI Monthly'!$H$5:$H$28,'KPI Monthly'!$B$5:$B$28,$A12)=0,"",SUMIFS('KPI Monthly'!$J$5:$J$28,'KPI Monthly'!$B$5:$B$28,$A12)/SUMIFS('KPI Monthly'!$H$5:$H$28,'KPI Monthly'!$B$5:$B$28,$A12))</f>
        <v/>
      </c>
      <c r="I12" s="70" t="str">
        <f aca="false">IF(SUMIFS('KPI Monthly'!$L$5:$L$28,'KPI Monthly'!$B$5:$B$28,$A12)=0,"",SUMIFS('KPI Monthly'!$L$5:$L$28,'KPI Monthly'!$B$5:$B$28,$A12))</f>
        <v/>
      </c>
      <c r="J12" s="71" t="str">
        <f aca="false">IFERROR(AVERAGEIFS('KPI Monthly'!$Q$5:$Q$28,'KPI Monthly'!$B$5:$B$28,$A12),"")</f>
        <v/>
      </c>
      <c r="K12" s="70" t="str">
        <f aca="false">IF(SUMIFS('KPI Monthly'!$S$5:$S$28,'KPI Monthly'!$B$5:$B$28,$A12)=0,"",SUMIFS('KPI Monthly'!$S$5:$S$28,'KPI Monthly'!$B$5:$B$28,$A12))</f>
        <v/>
      </c>
    </row>
    <row r="14" customFormat="false" ht="15" hidden="false" customHeight="true" outlineLevel="0" collapsed="false">
      <c r="A14" s="44" t="s">
        <v>122</v>
      </c>
      <c r="B14" s="44"/>
      <c r="C14" s="44"/>
      <c r="D14" s="44"/>
      <c r="E14" s="44"/>
      <c r="F14" s="44"/>
      <c r="G14" s="44"/>
      <c r="H14" s="44"/>
      <c r="I14" s="44"/>
      <c r="J14" s="44"/>
      <c r="K14" s="44"/>
    </row>
    <row r="15" customFormat="false" ht="24" hidden="false" customHeight="true" outlineLevel="0" collapsed="false">
      <c r="A15" s="73" t="s">
        <v>58</v>
      </c>
      <c r="B15" s="73" t="s">
        <v>41</v>
      </c>
      <c r="C15" s="73" t="s">
        <v>43</v>
      </c>
      <c r="D15" s="73" t="s">
        <v>110</v>
      </c>
      <c r="E15" s="73" t="s">
        <v>111</v>
      </c>
      <c r="F15" s="73" t="s">
        <v>112</v>
      </c>
      <c r="G15" s="73" t="s">
        <v>104</v>
      </c>
      <c r="H15" s="73" t="s">
        <v>105</v>
      </c>
      <c r="I15" s="73" t="s">
        <v>49</v>
      </c>
      <c r="J15" s="73" t="s">
        <v>113</v>
      </c>
      <c r="K15" s="73" t="s">
        <v>53</v>
      </c>
    </row>
    <row r="16" customFormat="false" ht="15" hidden="false" customHeight="false" outlineLevel="0" collapsed="false">
      <c r="A16" s="23" t="str">
        <f aca="false">A6</f>
        <v>Q2 2026</v>
      </c>
      <c r="B16" s="26" t="str">
        <f aca="false">IF(OR(B6="",B5="",B5=0),"",(B6-B5)/B5)</f>
        <v/>
      </c>
      <c r="C16" s="26" t="str">
        <f aca="false">IF(OR(C6="",C5="",C5=0),"",(C6-C5)/C5)</f>
        <v/>
      </c>
      <c r="D16" s="26" t="str">
        <f aca="false">IF(OR(D6="",D5=""),"",D6-D5)</f>
        <v/>
      </c>
      <c r="E16" s="26" t="str">
        <f aca="false">IF(OR(E6="",E5=""),"",E6-E5)</f>
        <v/>
      </c>
      <c r="F16" s="26" t="str">
        <f aca="false">IF(OR(F6="",F5=""),"",F6-F5)</f>
        <v/>
      </c>
      <c r="G16" s="26" t="str">
        <f aca="false">IF(OR(G6="",G5="",G5=0),"",(G6-G5)/G5)</f>
        <v/>
      </c>
      <c r="H16" s="26" t="str">
        <f aca="false">IF(OR(H6="",H5="",H5=0),"",(H6-H5)/H5)</f>
        <v/>
      </c>
      <c r="I16" s="26" t="str">
        <f aca="false">IF(OR(I6="",I5="",I5=0),"",(I6-I5)/I5)</f>
        <v/>
      </c>
      <c r="J16" s="26" t="str">
        <f aca="false">IF(OR(J6="",J5=""),"",J6-J5)</f>
        <v/>
      </c>
      <c r="K16" s="26" t="str">
        <f aca="false">IF(OR(K6="",K5="",K5=0),"",(K6-K5)/K5)</f>
        <v/>
      </c>
    </row>
    <row r="17" customFormat="false" ht="15" hidden="false" customHeight="false" outlineLevel="0" collapsed="false">
      <c r="A17" s="8" t="str">
        <f aca="false">A7</f>
        <v>Q3 2026</v>
      </c>
      <c r="B17" s="19" t="str">
        <f aca="false">IF(OR(B7="",B6="",B6=0),"",(B7-B6)/B6)</f>
        <v/>
      </c>
      <c r="C17" s="19" t="str">
        <f aca="false">IF(OR(C7="",C6="",C6=0),"",(C7-C6)/C6)</f>
        <v/>
      </c>
      <c r="D17" s="19" t="str">
        <f aca="false">IF(OR(D7="",D6=""),"",D7-D6)</f>
        <v/>
      </c>
      <c r="E17" s="19" t="str">
        <f aca="false">IF(OR(E7="",E6=""),"",E7-E6)</f>
        <v/>
      </c>
      <c r="F17" s="19" t="str">
        <f aca="false">IF(OR(F7="",F6=""),"",F7-F6)</f>
        <v/>
      </c>
      <c r="G17" s="19" t="str">
        <f aca="false">IF(OR(G7="",G6="",G6=0),"",(G7-G6)/G6)</f>
        <v/>
      </c>
      <c r="H17" s="19" t="str">
        <f aca="false">IF(OR(H7="",H6="",H6=0),"",(H7-H6)/H6)</f>
        <v/>
      </c>
      <c r="I17" s="19" t="str">
        <f aca="false">IF(OR(I7="",I6="",I6=0),"",(I7-I6)/I6)</f>
        <v/>
      </c>
      <c r="J17" s="19" t="str">
        <f aca="false">IF(OR(J7="",J6=""),"",J7-J6)</f>
        <v/>
      </c>
      <c r="K17" s="19" t="str">
        <f aca="false">IF(OR(K7="",K6="",K6=0),"",(K7-K6)/K6)</f>
        <v/>
      </c>
    </row>
    <row r="18" customFormat="false" ht="15" hidden="false" customHeight="false" outlineLevel="0" collapsed="false">
      <c r="A18" s="23" t="str">
        <f aca="false">A8</f>
        <v>Q4 2026</v>
      </c>
      <c r="B18" s="26" t="str">
        <f aca="false">IF(OR(B8="",B7="",B7=0),"",(B8-B7)/B7)</f>
        <v/>
      </c>
      <c r="C18" s="26" t="str">
        <f aca="false">IF(OR(C8="",C7="",C7=0),"",(C8-C7)/C7)</f>
        <v/>
      </c>
      <c r="D18" s="26" t="str">
        <f aca="false">IF(OR(D8="",D7=""),"",D8-D7)</f>
        <v/>
      </c>
      <c r="E18" s="26" t="str">
        <f aca="false">IF(OR(E8="",E7=""),"",E8-E7)</f>
        <v/>
      </c>
      <c r="F18" s="26" t="str">
        <f aca="false">IF(OR(F8="",F7=""),"",F8-F7)</f>
        <v/>
      </c>
      <c r="G18" s="26" t="str">
        <f aca="false">IF(OR(G8="",G7="",G7=0),"",(G8-G7)/G7)</f>
        <v/>
      </c>
      <c r="H18" s="26" t="str">
        <f aca="false">IF(OR(H8="",H7="",H7=0),"",(H8-H7)/H7)</f>
        <v/>
      </c>
      <c r="I18" s="26" t="str">
        <f aca="false">IF(OR(I8="",I7="",I7=0),"",(I8-I7)/I7)</f>
        <v/>
      </c>
      <c r="J18" s="26" t="str">
        <f aca="false">IF(OR(J8="",J7=""),"",J8-J7)</f>
        <v/>
      </c>
      <c r="K18" s="26" t="str">
        <f aca="false">IF(OR(K8="",K7="",K7=0),"",(K8-K7)/K7)</f>
        <v/>
      </c>
    </row>
    <row r="19" customFormat="false" ht="15" hidden="false" customHeight="false" outlineLevel="0" collapsed="false">
      <c r="A19" s="8" t="str">
        <f aca="false">A9</f>
        <v>Q1 2027</v>
      </c>
      <c r="B19" s="19" t="str">
        <f aca="false">IF(OR(B9="",B8="",B8=0),"",(B9-B8)/B8)</f>
        <v/>
      </c>
      <c r="C19" s="19" t="str">
        <f aca="false">IF(OR(C9="",C8="",C8=0),"",(C9-C8)/C8)</f>
        <v/>
      </c>
      <c r="D19" s="19" t="str">
        <f aca="false">IF(OR(D9="",D8=""),"",D9-D8)</f>
        <v/>
      </c>
      <c r="E19" s="19" t="str">
        <f aca="false">IF(OR(E9="",E8=""),"",E9-E8)</f>
        <v/>
      </c>
      <c r="F19" s="19" t="str">
        <f aca="false">IF(OR(F9="",F8=""),"",F9-F8)</f>
        <v/>
      </c>
      <c r="G19" s="19" t="str">
        <f aca="false">IF(OR(G9="",G8="",G8=0),"",(G9-G8)/G8)</f>
        <v/>
      </c>
      <c r="H19" s="19" t="str">
        <f aca="false">IF(OR(H9="",H8="",H8=0),"",(H9-H8)/H8)</f>
        <v/>
      </c>
      <c r="I19" s="19" t="str">
        <f aca="false">IF(OR(I9="",I8="",I8=0),"",(I9-I8)/I8)</f>
        <v/>
      </c>
      <c r="J19" s="19" t="str">
        <f aca="false">IF(OR(J9="",J8=""),"",J9-J8)</f>
        <v/>
      </c>
      <c r="K19" s="19" t="str">
        <f aca="false">IF(OR(K9="",K8="",K8=0),"",(K9-K8)/K8)</f>
        <v/>
      </c>
    </row>
    <row r="20" customFormat="false" ht="15" hidden="false" customHeight="false" outlineLevel="0" collapsed="false">
      <c r="A20" s="23" t="str">
        <f aca="false">A10</f>
        <v>Q2 2027</v>
      </c>
      <c r="B20" s="26" t="str">
        <f aca="false">IF(OR(B10="",B9="",B9=0),"",(B10-B9)/B9)</f>
        <v/>
      </c>
      <c r="C20" s="26" t="str">
        <f aca="false">IF(OR(C10="",C9="",C9=0),"",(C10-C9)/C9)</f>
        <v/>
      </c>
      <c r="D20" s="26" t="str">
        <f aca="false">IF(OR(D10="",D9=""),"",D10-D9)</f>
        <v/>
      </c>
      <c r="E20" s="26" t="str">
        <f aca="false">IF(OR(E10="",E9=""),"",E10-E9)</f>
        <v/>
      </c>
      <c r="F20" s="26" t="str">
        <f aca="false">IF(OR(F10="",F9=""),"",F10-F9)</f>
        <v/>
      </c>
      <c r="G20" s="26" t="str">
        <f aca="false">IF(OR(G10="",G9="",G9=0),"",(G10-G9)/G9)</f>
        <v/>
      </c>
      <c r="H20" s="26" t="str">
        <f aca="false">IF(OR(H10="",H9="",H9=0),"",(H10-H9)/H9)</f>
        <v/>
      </c>
      <c r="I20" s="26" t="str">
        <f aca="false">IF(OR(I10="",I9="",I9=0),"",(I10-I9)/I9)</f>
        <v/>
      </c>
      <c r="J20" s="26" t="str">
        <f aca="false">IF(OR(J10="",J9=""),"",J10-J9)</f>
        <v/>
      </c>
      <c r="K20" s="26" t="str">
        <f aca="false">IF(OR(K10="",K9="",K9=0),"",(K10-K9)/K9)</f>
        <v/>
      </c>
    </row>
    <row r="21" customFormat="false" ht="15" hidden="false" customHeight="false" outlineLevel="0" collapsed="false">
      <c r="A21" s="8" t="str">
        <f aca="false">A11</f>
        <v>Q3 2027</v>
      </c>
      <c r="B21" s="19" t="str">
        <f aca="false">IF(OR(B11="",B10="",B10=0),"",(B11-B10)/B10)</f>
        <v/>
      </c>
      <c r="C21" s="19" t="str">
        <f aca="false">IF(OR(C11="",C10="",C10=0),"",(C11-C10)/C10)</f>
        <v/>
      </c>
      <c r="D21" s="19" t="str">
        <f aca="false">IF(OR(D11="",D10=""),"",D11-D10)</f>
        <v/>
      </c>
      <c r="E21" s="19" t="str">
        <f aca="false">IF(OR(E11="",E10=""),"",E11-E10)</f>
        <v/>
      </c>
      <c r="F21" s="19" t="str">
        <f aca="false">IF(OR(F11="",F10=""),"",F11-F10)</f>
        <v/>
      </c>
      <c r="G21" s="19" t="str">
        <f aca="false">IF(OR(G11="",G10="",G10=0),"",(G11-G10)/G10)</f>
        <v/>
      </c>
      <c r="H21" s="19" t="str">
        <f aca="false">IF(OR(H11="",H10="",H10=0),"",(H11-H10)/H10)</f>
        <v/>
      </c>
      <c r="I21" s="19" t="str">
        <f aca="false">IF(OR(I11="",I10="",I10=0),"",(I11-I10)/I10)</f>
        <v/>
      </c>
      <c r="J21" s="19" t="str">
        <f aca="false">IF(OR(J11="",J10=""),"",J11-J10)</f>
        <v/>
      </c>
      <c r="K21" s="19" t="str">
        <f aca="false">IF(OR(K11="",K10="",K10=0),"",(K11-K10)/K10)</f>
        <v/>
      </c>
    </row>
    <row r="22" customFormat="false" ht="15" hidden="false" customHeight="false" outlineLevel="0" collapsed="false">
      <c r="A22" s="23" t="str">
        <f aca="false">A12</f>
        <v>Q4 2027</v>
      </c>
      <c r="B22" s="26" t="str">
        <f aca="false">IF(OR(B12="",B11="",B11=0),"",(B12-B11)/B11)</f>
        <v/>
      </c>
      <c r="C22" s="26" t="str">
        <f aca="false">IF(OR(C12="",C11="",C11=0),"",(C12-C11)/C11)</f>
        <v/>
      </c>
      <c r="D22" s="26" t="str">
        <f aca="false">IF(OR(D12="",D11=""),"",D12-D11)</f>
        <v/>
      </c>
      <c r="E22" s="26" t="str">
        <f aca="false">IF(OR(E12="",E11=""),"",E12-E11)</f>
        <v/>
      </c>
      <c r="F22" s="26" t="str">
        <f aca="false">IF(OR(F12="",F11=""),"",F12-F11)</f>
        <v/>
      </c>
      <c r="G22" s="26" t="str">
        <f aca="false">IF(OR(G12="",G11="",G11=0),"",(G12-G11)/G11)</f>
        <v/>
      </c>
      <c r="H22" s="26" t="str">
        <f aca="false">IF(OR(H12="",H11="",H11=0),"",(H12-H11)/H11)</f>
        <v/>
      </c>
      <c r="I22" s="26" t="str">
        <f aca="false">IF(OR(I12="",I11="",I11=0),"",(I12-I11)/I11)</f>
        <v/>
      </c>
      <c r="J22" s="26" t="str">
        <f aca="false">IF(OR(J12="",J11=""),"",J12-J11)</f>
        <v/>
      </c>
      <c r="K22" s="26" t="str">
        <f aca="false">IF(OR(K12="",K11="",K11=0),"",(K12-K11)/K11)</f>
        <v/>
      </c>
    </row>
  </sheetData>
  <mergeCells count="3">
    <mergeCell ref="A1:K1"/>
    <mergeCell ref="A2:K2"/>
    <mergeCell ref="A14:K14"/>
  </mergeCells>
  <conditionalFormatting sqref="B16:K22">
    <cfRule type="cellIs" priority="2" operator="greaterThan" aboveAverage="0" equalAverage="0" bottom="0" percent="0" rank="0" text="" dxfId="13">
      <formula>0</formula>
    </cfRule>
    <cfRule type="cellIs" priority="3" operator="lessThan" aboveAverage="0" equalAverage="0" bottom="0" percent="0" rank="0" text="" dxfId="1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7"/>
    <col collapsed="false" customWidth="true" hidden="false" outlineLevel="0" max="4" min="3" style="0" width="12"/>
    <col collapsed="false" customWidth="true" hidden="false" outlineLevel="0" max="5" min="5" style="0" width="10"/>
    <col collapsed="false" customWidth="true" hidden="false" outlineLevel="0" max="6" min="6" style="0" width="8"/>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1" min="10" style="0" width="12"/>
  </cols>
  <sheetData>
    <row r="1" customFormat="false" ht="30" hidden="false" customHeight="true" outlineLevel="0" collapsed="false">
      <c r="A1" s="1" t="s">
        <v>123</v>
      </c>
      <c r="B1" s="1"/>
      <c r="C1" s="1"/>
      <c r="D1" s="1"/>
      <c r="E1" s="1"/>
      <c r="F1" s="1"/>
      <c r="G1" s="1"/>
      <c r="H1" s="1"/>
      <c r="I1" s="1"/>
      <c r="J1" s="1"/>
      <c r="K1" s="1"/>
    </row>
    <row r="2" customFormat="false" ht="18" hidden="false" customHeight="true" outlineLevel="0" collapsed="false">
      <c r="A2" s="2" t="s">
        <v>124</v>
      </c>
      <c r="B2" s="2"/>
      <c r="C2" s="2"/>
      <c r="D2" s="2"/>
      <c r="E2" s="2"/>
      <c r="F2" s="2"/>
      <c r="G2" s="2"/>
      <c r="H2" s="2"/>
      <c r="I2" s="2"/>
      <c r="J2" s="2"/>
      <c r="K2" s="2"/>
    </row>
    <row r="4" customFormat="false" ht="27.75" hidden="false" customHeight="true" outlineLevel="0" collapsed="false">
      <c r="A4" s="16" t="s">
        <v>125</v>
      </c>
      <c r="B4" s="16" t="s">
        <v>126</v>
      </c>
      <c r="C4" s="16" t="s">
        <v>41</v>
      </c>
      <c r="D4" s="16" t="s">
        <v>111</v>
      </c>
      <c r="E4" s="16" t="s">
        <v>112</v>
      </c>
      <c r="F4" s="16" t="s">
        <v>127</v>
      </c>
      <c r="G4" s="16" t="s">
        <v>110</v>
      </c>
      <c r="H4" s="16" t="s">
        <v>49</v>
      </c>
      <c r="I4" s="16" t="s">
        <v>62</v>
      </c>
      <c r="J4" s="16" t="s">
        <v>50</v>
      </c>
      <c r="K4" s="16" t="s">
        <v>51</v>
      </c>
    </row>
    <row r="5" customFormat="false" ht="15" hidden="false" customHeight="false" outlineLevel="0" collapsed="false">
      <c r="A5" s="74" t="s">
        <v>128</v>
      </c>
      <c r="B5" s="75" t="s">
        <v>129</v>
      </c>
      <c r="C5" s="67" t="n">
        <v>1800</v>
      </c>
      <c r="D5" s="68" t="n">
        <v>0.55</v>
      </c>
      <c r="E5" s="68" t="n">
        <v>0.45</v>
      </c>
      <c r="F5" s="67" t="n">
        <v>12</v>
      </c>
      <c r="G5" s="50" t="n">
        <f aca="false">IF(C5=0,"",F5/C5)</f>
        <v>0.00666666666666667</v>
      </c>
      <c r="H5" s="67" t="n">
        <v>520</v>
      </c>
      <c r="I5" s="67" t="n">
        <v>9000</v>
      </c>
      <c r="J5" s="50" t="n">
        <f aca="false">IF(OR(I5="",I5=0),"",H5/I5)</f>
        <v>0.0577777777777778</v>
      </c>
      <c r="K5" s="76" t="n">
        <v>4.2</v>
      </c>
    </row>
    <row r="6" customFormat="false" ht="15" hidden="false" customHeight="false" outlineLevel="0" collapsed="false">
      <c r="A6" s="77" t="s">
        <v>130</v>
      </c>
      <c r="B6" s="78" t="s">
        <v>131</v>
      </c>
      <c r="C6" s="70" t="n">
        <v>900</v>
      </c>
      <c r="D6" s="71" t="n">
        <v>0.62</v>
      </c>
      <c r="E6" s="71" t="n">
        <v>0.38</v>
      </c>
      <c r="F6" s="70" t="n">
        <v>8</v>
      </c>
      <c r="G6" s="58" t="n">
        <f aca="false">IF(C6=0,"",F6/C6)</f>
        <v>0.00888888888888889</v>
      </c>
      <c r="H6" s="70" t="n">
        <v>180</v>
      </c>
      <c r="I6" s="70" t="n">
        <v>5200</v>
      </c>
      <c r="J6" s="58" t="n">
        <f aca="false">IF(OR(I6="",I6=0),"",H6/I6)</f>
        <v>0.0346153846153846</v>
      </c>
      <c r="K6" s="79" t="n">
        <v>6.1</v>
      </c>
    </row>
    <row r="7" customFormat="false" ht="15" hidden="false" customHeight="false" outlineLevel="0" collapsed="false">
      <c r="A7" s="74" t="s">
        <v>132</v>
      </c>
      <c r="B7" s="75" t="s">
        <v>133</v>
      </c>
      <c r="C7" s="67" t="n">
        <v>240</v>
      </c>
      <c r="D7" s="68" t="n">
        <v>0.48</v>
      </c>
      <c r="E7" s="68" t="n">
        <v>0.52</v>
      </c>
      <c r="F7" s="67" t="n">
        <v>9</v>
      </c>
      <c r="G7" s="50" t="n">
        <f aca="false">IF(C7=0,"",F7/C7)</f>
        <v>0.0375</v>
      </c>
      <c r="H7" s="67" t="n">
        <v>40</v>
      </c>
      <c r="I7" s="67" t="n">
        <v>800</v>
      </c>
      <c r="J7" s="50" t="n">
        <f aca="false">IF(OR(I7="",I7=0),"",H7/I7)</f>
        <v>0.05</v>
      </c>
      <c r="K7" s="76" t="n">
        <v>7</v>
      </c>
    </row>
    <row r="8" customFormat="false" ht="15" hidden="false" customHeight="false" outlineLevel="0" collapsed="false">
      <c r="A8" s="77" t="s">
        <v>134</v>
      </c>
      <c r="B8" s="78" t="s">
        <v>135</v>
      </c>
      <c r="C8" s="70" t="n">
        <v>160</v>
      </c>
      <c r="D8" s="71" t="n">
        <v>0.71</v>
      </c>
      <c r="E8" s="71" t="n">
        <v>0.29</v>
      </c>
      <c r="F8" s="70" t="n">
        <v>0</v>
      </c>
      <c r="G8" s="58" t="n">
        <f aca="false">IF(C8=0,"",F8/C8)</f>
        <v>0</v>
      </c>
      <c r="H8" s="70" t="n">
        <v>120</v>
      </c>
      <c r="I8" s="70" t="n">
        <v>3000</v>
      </c>
      <c r="J8" s="58" t="n">
        <f aca="false">IF(OR(I8="",I8=0),"",H8/I8)</f>
        <v>0.04</v>
      </c>
      <c r="K8" s="79" t="n">
        <v>9.4</v>
      </c>
    </row>
    <row r="9" customFormat="false" ht="15" hidden="false" customHeight="false" outlineLevel="0" collapsed="false">
      <c r="A9" s="74" t="s">
        <v>136</v>
      </c>
      <c r="B9" s="75" t="s">
        <v>133</v>
      </c>
      <c r="C9" s="67" t="n">
        <v>30</v>
      </c>
      <c r="D9" s="68" t="n">
        <v>0.98</v>
      </c>
      <c r="E9" s="68" t="n">
        <v>0.02</v>
      </c>
      <c r="F9" s="67" t="n">
        <v>30</v>
      </c>
      <c r="G9" s="50" t="n">
        <f aca="false">IF(C9=0,"",F9/C9)</f>
        <v>1</v>
      </c>
      <c r="H9" s="67" t="n">
        <v>0</v>
      </c>
      <c r="I9" s="67" t="n">
        <v>0</v>
      </c>
      <c r="J9" s="50" t="str">
        <f aca="false">IF(OR(I9="",I9=0),"",H9/I9)</f>
        <v/>
      </c>
      <c r="K9" s="76"/>
    </row>
    <row r="10" customFormat="false" ht="15" hidden="false" customHeight="false" outlineLevel="0" collapsed="false">
      <c r="A10" s="80" t="s">
        <v>137</v>
      </c>
      <c r="B10" s="80" t="s">
        <v>138</v>
      </c>
      <c r="C10" s="81" t="n">
        <f aca="false">SUM(C5:C9)</f>
        <v>3130</v>
      </c>
      <c r="D10" s="82" t="n">
        <f aca="false">IF(SUM(C5:C9)=0,"",SUMPRODUCT(C5:C9,D5:D9)/SUM(C5:C9))</f>
        <v>0.577060702875399</v>
      </c>
      <c r="E10" s="82" t="n">
        <f aca="false">IF(SUM(C5:C9)=0,"",SUMPRODUCT(C5:C9,E5:E9)/SUM(C5:C9))</f>
        <v>0.422939297124601</v>
      </c>
      <c r="F10" s="81" t="n">
        <f aca="false">SUM(F5:F9)</f>
        <v>59</v>
      </c>
      <c r="G10" s="83" t="n">
        <f aca="false">IF(C10=0,"",F10/C10)</f>
        <v>0.0188498402555911</v>
      </c>
      <c r="H10" s="81" t="n">
        <f aca="false">SUM(H5:H9)</f>
        <v>860</v>
      </c>
      <c r="I10" s="81" t="n">
        <f aca="false">SUM(I5:I9)</f>
        <v>18000</v>
      </c>
      <c r="J10" s="83" t="n">
        <f aca="false">IF(I10=0,"",H10/I10)</f>
        <v>0.0477777777777778</v>
      </c>
      <c r="K10" s="84"/>
    </row>
    <row r="12" customFormat="false" ht="51.75" hidden="false" customHeight="true" outlineLevel="0" collapsed="false">
      <c r="A12" s="85" t="s">
        <v>139</v>
      </c>
      <c r="B12" s="85"/>
      <c r="C12" s="85"/>
      <c r="D12" s="85"/>
      <c r="E12" s="85"/>
      <c r="F12" s="85"/>
      <c r="G12" s="85"/>
      <c r="H12" s="85"/>
      <c r="I12" s="85"/>
      <c r="J12" s="85"/>
      <c r="K12" s="85"/>
    </row>
    <row r="13" customFormat="false" ht="15" hidden="false" customHeight="false" outlineLevel="0" collapsed="false">
      <c r="A13" s="85"/>
      <c r="B13" s="85"/>
      <c r="C13" s="85"/>
      <c r="D13" s="85"/>
      <c r="E13" s="85"/>
      <c r="F13" s="85"/>
      <c r="G13" s="85"/>
      <c r="H13" s="85"/>
      <c r="I13" s="85"/>
      <c r="J13" s="85"/>
      <c r="K13" s="85"/>
    </row>
    <row r="14" customFormat="false" ht="15" hidden="false" customHeight="false" outlineLevel="0" collapsed="false">
      <c r="A14" s="85"/>
      <c r="B14" s="85"/>
      <c r="C14" s="85"/>
      <c r="D14" s="85"/>
      <c r="E14" s="85"/>
      <c r="F14" s="85"/>
      <c r="G14" s="85"/>
      <c r="H14" s="85"/>
      <c r="I14" s="85"/>
      <c r="J14" s="85"/>
      <c r="K14" s="85"/>
    </row>
  </sheetData>
  <autoFilter ref="A4:K10"/>
  <mergeCells count="3">
    <mergeCell ref="A1:K1"/>
    <mergeCell ref="A2:K2"/>
    <mergeCell ref="A12:K14"/>
  </mergeCells>
  <hyperlinks>
    <hyperlink ref="A5" r:id="rId2" display="/"/>
    <hyperlink ref="A6" r:id="rId3" display="/product-a"/>
    <hyperlink ref="A7" r:id="rId4" display="/pricing"/>
    <hyperlink ref="A8" r:id="rId5" display="/blog/example-post"/>
    <hyperlink ref="A9" r:id="rId6" display="/product-a-thank-you"/>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M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13" min="2" style="0" width="12"/>
  </cols>
  <sheetData>
    <row r="1" customFormat="false" ht="30" hidden="false" customHeight="true" outlineLevel="0" collapsed="false">
      <c r="A1" s="1" t="s">
        <v>140</v>
      </c>
      <c r="B1" s="1"/>
      <c r="C1" s="1"/>
      <c r="D1" s="1"/>
      <c r="E1" s="1"/>
      <c r="F1" s="1"/>
      <c r="G1" s="1"/>
      <c r="H1" s="1"/>
      <c r="I1" s="1"/>
      <c r="J1" s="1"/>
      <c r="K1" s="1"/>
      <c r="L1" s="1"/>
      <c r="M1" s="1"/>
    </row>
    <row r="2" customFormat="false" ht="18" hidden="false" customHeight="true" outlineLevel="0" collapsed="false">
      <c r="A2" s="2" t="s">
        <v>141</v>
      </c>
      <c r="B2" s="2"/>
      <c r="C2" s="2"/>
      <c r="D2" s="2"/>
      <c r="E2" s="2"/>
      <c r="F2" s="2"/>
      <c r="G2" s="2"/>
      <c r="H2" s="2"/>
      <c r="I2" s="2"/>
      <c r="J2" s="2"/>
      <c r="K2" s="2"/>
      <c r="L2" s="2"/>
      <c r="M2" s="2"/>
    </row>
    <row r="4" customFormat="false" ht="19.5" hidden="false" customHeight="true" outlineLevel="0" collapsed="false">
      <c r="A4" s="86" t="s">
        <v>142</v>
      </c>
      <c r="B4" s="86" t="s">
        <v>67</v>
      </c>
      <c r="C4" s="86"/>
      <c r="D4" s="86" t="s">
        <v>70</v>
      </c>
      <c r="E4" s="86"/>
      <c r="F4" s="86" t="s">
        <v>71</v>
      </c>
      <c r="G4" s="86"/>
      <c r="H4" s="86" t="s">
        <v>72</v>
      </c>
      <c r="I4" s="86"/>
      <c r="J4" s="86" t="s">
        <v>74</v>
      </c>
      <c r="K4" s="86"/>
      <c r="L4" s="86" t="s">
        <v>75</v>
      </c>
      <c r="M4" s="86"/>
    </row>
    <row r="5" customFormat="false" ht="25.5" hidden="false" customHeight="true" outlineLevel="0" collapsed="false">
      <c r="A5" s="86"/>
      <c r="B5" s="86" t="s">
        <v>41</v>
      </c>
      <c r="C5" s="86" t="s">
        <v>143</v>
      </c>
      <c r="D5" s="86" t="s">
        <v>41</v>
      </c>
      <c r="E5" s="86" t="s">
        <v>143</v>
      </c>
      <c r="F5" s="86" t="s">
        <v>41</v>
      </c>
      <c r="G5" s="86" t="s">
        <v>143</v>
      </c>
      <c r="H5" s="86" t="s">
        <v>41</v>
      </c>
      <c r="I5" s="86" t="s">
        <v>143</v>
      </c>
      <c r="J5" s="86" t="s">
        <v>41</v>
      </c>
      <c r="K5" s="86" t="s">
        <v>143</v>
      </c>
      <c r="L5" s="86" t="s">
        <v>41</v>
      </c>
      <c r="M5" s="86" t="s">
        <v>143</v>
      </c>
    </row>
    <row r="6" customFormat="false" ht="15" hidden="false" customHeight="false" outlineLevel="0" collapsed="false">
      <c r="A6" s="8" t="s">
        <v>144</v>
      </c>
      <c r="B6" s="67" t="n">
        <v>1200</v>
      </c>
      <c r="C6" s="67"/>
      <c r="D6" s="67" t="n">
        <v>1500</v>
      </c>
      <c r="E6" s="67"/>
      <c r="F6" s="67" t="n">
        <v>1700</v>
      </c>
      <c r="G6" s="67"/>
      <c r="H6" s="67" t="n">
        <v>1900</v>
      </c>
      <c r="I6" s="67"/>
      <c r="J6" s="67" t="n">
        <v>2100</v>
      </c>
      <c r="K6" s="67"/>
      <c r="L6" s="67" t="n">
        <v>2400</v>
      </c>
      <c r="M6" s="67" t="n">
        <v>18</v>
      </c>
    </row>
    <row r="7" customFormat="false" ht="15" hidden="false" customHeight="false" outlineLevel="0" collapsed="false">
      <c r="A7" s="23" t="s">
        <v>145</v>
      </c>
      <c r="B7" s="70" t="n">
        <v>600</v>
      </c>
      <c r="C7" s="70"/>
      <c r="D7" s="70" t="n">
        <v>700</v>
      </c>
      <c r="E7" s="70"/>
      <c r="F7" s="70" t="n">
        <v>820</v>
      </c>
      <c r="G7" s="70"/>
      <c r="H7" s="70" t="n">
        <v>900</v>
      </c>
      <c r="I7" s="70"/>
      <c r="J7" s="70" t="n">
        <v>1050</v>
      </c>
      <c r="K7" s="70"/>
      <c r="L7" s="70" t="n">
        <v>1200</v>
      </c>
      <c r="M7" s="70" t="n">
        <v>6</v>
      </c>
    </row>
    <row r="8" customFormat="false" ht="15" hidden="false" customHeight="false" outlineLevel="0" collapsed="false">
      <c r="A8" s="8" t="s">
        <v>146</v>
      </c>
      <c r="B8" s="67" t="n">
        <v>200</v>
      </c>
      <c r="C8" s="67"/>
      <c r="D8" s="67" t="n">
        <v>250</v>
      </c>
      <c r="E8" s="67"/>
      <c r="F8" s="67" t="n">
        <v>300</v>
      </c>
      <c r="G8" s="67"/>
      <c r="H8" s="67" t="n">
        <v>380</v>
      </c>
      <c r="I8" s="67"/>
      <c r="J8" s="67" t="n">
        <v>420</v>
      </c>
      <c r="K8" s="67"/>
      <c r="L8" s="67" t="n">
        <v>460</v>
      </c>
      <c r="M8" s="67" t="n">
        <v>3</v>
      </c>
    </row>
    <row r="9" customFormat="false" ht="15" hidden="false" customHeight="false" outlineLevel="0" collapsed="false">
      <c r="A9" s="23" t="s">
        <v>147</v>
      </c>
      <c r="B9" s="70" t="n">
        <v>150</v>
      </c>
      <c r="C9" s="70"/>
      <c r="D9" s="70" t="n">
        <v>180</v>
      </c>
      <c r="E9" s="70"/>
      <c r="F9" s="70" t="n">
        <v>210</v>
      </c>
      <c r="G9" s="70"/>
      <c r="H9" s="70" t="n">
        <v>260</v>
      </c>
      <c r="I9" s="70"/>
      <c r="J9" s="70" t="n">
        <v>300</v>
      </c>
      <c r="K9" s="70"/>
      <c r="L9" s="70" t="n">
        <v>330</v>
      </c>
      <c r="M9" s="70" t="n">
        <v>0</v>
      </c>
    </row>
    <row r="10" customFormat="false" ht="15" hidden="false" customHeight="false" outlineLevel="0" collapsed="false">
      <c r="A10" s="8" t="s">
        <v>148</v>
      </c>
      <c r="B10" s="67" t="n">
        <v>50</v>
      </c>
      <c r="C10" s="67"/>
      <c r="D10" s="67" t="n">
        <v>60</v>
      </c>
      <c r="E10" s="67"/>
      <c r="F10" s="67" t="n">
        <v>70</v>
      </c>
      <c r="G10" s="67"/>
      <c r="H10" s="67" t="n">
        <v>80</v>
      </c>
      <c r="I10" s="67"/>
      <c r="J10" s="67" t="n">
        <v>95</v>
      </c>
      <c r="K10" s="67"/>
      <c r="L10" s="67" t="n">
        <v>110</v>
      </c>
      <c r="M10" s="67" t="n">
        <v>0</v>
      </c>
    </row>
    <row r="11" customFormat="false" ht="15" hidden="false" customHeight="false" outlineLevel="0" collapsed="false">
      <c r="A11" s="87" t="s">
        <v>137</v>
      </c>
      <c r="B11" s="81" t="n">
        <f aca="false">SUM(B6:B10)</f>
        <v>2200</v>
      </c>
      <c r="C11" s="81" t="n">
        <f aca="false">SUM(C6:C10)</f>
        <v>0</v>
      </c>
      <c r="D11" s="81" t="n">
        <f aca="false">SUM(D6:D10)</f>
        <v>2690</v>
      </c>
      <c r="E11" s="81" t="n">
        <f aca="false">SUM(E6:E10)</f>
        <v>0</v>
      </c>
      <c r="F11" s="81" t="n">
        <f aca="false">SUM(F6:F10)</f>
        <v>3100</v>
      </c>
      <c r="G11" s="81" t="n">
        <f aca="false">SUM(G6:G10)</f>
        <v>0</v>
      </c>
      <c r="H11" s="81" t="n">
        <f aca="false">SUM(H6:H10)</f>
        <v>3520</v>
      </c>
      <c r="I11" s="81" t="n">
        <f aca="false">SUM(I6:I10)</f>
        <v>0</v>
      </c>
      <c r="J11" s="81" t="n">
        <f aca="false">SUM(J6:J10)</f>
        <v>3965</v>
      </c>
      <c r="K11" s="81" t="n">
        <f aca="false">SUM(K6:K10)</f>
        <v>0</v>
      </c>
      <c r="L11" s="81" t="n">
        <f aca="false">SUM(L6:L10)</f>
        <v>4500</v>
      </c>
      <c r="M11" s="81" t="n">
        <f aca="false">SUM(M6:M10)</f>
        <v>27</v>
      </c>
    </row>
    <row r="13" customFormat="false" ht="51.75" hidden="false" customHeight="true" outlineLevel="0" collapsed="false">
      <c r="A13" s="85" t="s">
        <v>139</v>
      </c>
      <c r="B13" s="85"/>
      <c r="C13" s="85"/>
      <c r="D13" s="85"/>
      <c r="E13" s="85"/>
      <c r="F13" s="85"/>
      <c r="G13" s="85"/>
      <c r="H13" s="85"/>
      <c r="I13" s="85"/>
      <c r="J13" s="85"/>
      <c r="K13" s="85"/>
      <c r="L13" s="85"/>
      <c r="M13" s="85"/>
    </row>
    <row r="14" customFormat="false" ht="15" hidden="false" customHeight="false" outlineLevel="0" collapsed="false">
      <c r="A14" s="85"/>
      <c r="B14" s="85"/>
      <c r="C14" s="85"/>
      <c r="D14" s="85"/>
      <c r="E14" s="85"/>
      <c r="F14" s="85"/>
      <c r="G14" s="85"/>
      <c r="H14" s="85"/>
      <c r="I14" s="85"/>
      <c r="J14" s="85"/>
      <c r="K14" s="85"/>
      <c r="L14" s="85"/>
      <c r="M14" s="85"/>
    </row>
    <row r="15" customFormat="false" ht="15" hidden="false" customHeight="false" outlineLevel="0" collapsed="false">
      <c r="A15" s="85"/>
      <c r="B15" s="85"/>
      <c r="C15" s="85"/>
      <c r="D15" s="85"/>
      <c r="E15" s="85"/>
      <c r="F15" s="85"/>
      <c r="G15" s="85"/>
      <c r="H15" s="85"/>
      <c r="I15" s="85"/>
      <c r="J15" s="85"/>
      <c r="K15" s="85"/>
      <c r="L15" s="85"/>
      <c r="M15" s="85"/>
    </row>
  </sheetData>
  <mergeCells count="10">
    <mergeCell ref="A1:M1"/>
    <mergeCell ref="A2:M2"/>
    <mergeCell ref="A4:A5"/>
    <mergeCell ref="B4:C4"/>
    <mergeCell ref="D4:E4"/>
    <mergeCell ref="F4:G4"/>
    <mergeCell ref="H4:I4"/>
    <mergeCell ref="J4:K4"/>
    <mergeCell ref="L4:M4"/>
    <mergeCell ref="A13:M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M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0"/>
    <col collapsed="false" customWidth="true" hidden="false" outlineLevel="0" max="3" min="3" style="0" width="10"/>
    <col collapsed="false" customWidth="true" hidden="false" outlineLevel="0" max="4" min="4" style="0" width="13"/>
    <col collapsed="false" customWidth="true" hidden="false" outlineLevel="0" max="5" min="5" style="0" width="16"/>
    <col collapsed="false" customWidth="true" hidden="false" outlineLevel="0" max="7" min="6" style="0" width="12"/>
    <col collapsed="false" customWidth="true" hidden="false" outlineLevel="0" max="9" min="8" style="0" width="9"/>
    <col collapsed="false" customWidth="true" hidden="false" outlineLevel="0" max="11" min="10" style="0" width="11"/>
    <col collapsed="false" customWidth="true" hidden="false" outlineLevel="0" max="13" min="12" style="0" width="12"/>
  </cols>
  <sheetData>
    <row r="1" customFormat="false" ht="30" hidden="false" customHeight="true" outlineLevel="0" collapsed="false">
      <c r="A1" s="1" t="s">
        <v>149</v>
      </c>
      <c r="B1" s="1"/>
      <c r="C1" s="1"/>
      <c r="D1" s="1"/>
      <c r="E1" s="1"/>
      <c r="F1" s="1"/>
      <c r="G1" s="1"/>
      <c r="H1" s="1"/>
      <c r="I1" s="1"/>
      <c r="J1" s="1"/>
      <c r="K1" s="1"/>
      <c r="L1" s="1"/>
      <c r="M1" s="1"/>
    </row>
    <row r="2" customFormat="false" ht="18" hidden="false" customHeight="true" outlineLevel="0" collapsed="false">
      <c r="A2" s="2" t="s">
        <v>150</v>
      </c>
      <c r="B2" s="2"/>
      <c r="C2" s="2"/>
      <c r="D2" s="2"/>
      <c r="E2" s="2"/>
      <c r="F2" s="2"/>
      <c r="G2" s="2"/>
      <c r="H2" s="2"/>
      <c r="I2" s="2"/>
      <c r="J2" s="2"/>
      <c r="K2" s="2"/>
      <c r="L2" s="2"/>
      <c r="M2" s="2"/>
    </row>
    <row r="4" customFormat="false" ht="27.75" hidden="false" customHeight="true" outlineLevel="0" collapsed="false">
      <c r="A4" s="16" t="s">
        <v>57</v>
      </c>
      <c r="B4" s="16" t="s">
        <v>151</v>
      </c>
      <c r="C4" s="16" t="s">
        <v>152</v>
      </c>
      <c r="D4" s="16" t="s">
        <v>142</v>
      </c>
      <c r="E4" s="16" t="s">
        <v>153</v>
      </c>
      <c r="F4" s="16" t="s">
        <v>154</v>
      </c>
      <c r="G4" s="16" t="s">
        <v>155</v>
      </c>
      <c r="H4" s="16" t="s">
        <v>156</v>
      </c>
      <c r="I4" s="16" t="s">
        <v>157</v>
      </c>
      <c r="J4" s="16" t="s">
        <v>158</v>
      </c>
      <c r="K4" s="16" t="s">
        <v>159</v>
      </c>
      <c r="L4" s="16" t="s">
        <v>160</v>
      </c>
      <c r="M4" s="16" t="s">
        <v>161</v>
      </c>
    </row>
    <row r="5" customFormat="false" ht="15" hidden="false" customHeight="false" outlineLevel="0" collapsed="false">
      <c r="A5" s="88" t="s">
        <v>74</v>
      </c>
      <c r="B5" s="75" t="s">
        <v>162</v>
      </c>
      <c r="C5" s="75" t="s">
        <v>163</v>
      </c>
      <c r="D5" s="75" t="s">
        <v>146</v>
      </c>
      <c r="E5" s="75" t="s">
        <v>131</v>
      </c>
      <c r="F5" s="75" t="s">
        <v>164</v>
      </c>
      <c r="G5" s="67" t="n">
        <v>120000</v>
      </c>
      <c r="H5" s="67" t="n">
        <v>3200</v>
      </c>
      <c r="I5" s="50" t="n">
        <f aca="false">IF(G5=0,"",H5/G5)</f>
        <v>0.0266666666666667</v>
      </c>
      <c r="J5" s="69" t="n">
        <v>900</v>
      </c>
      <c r="K5" s="89" t="n">
        <f aca="false">IF(H5=0,"",J5/H5)</f>
        <v>0.28125</v>
      </c>
      <c r="L5" s="67" t="n">
        <v>40</v>
      </c>
      <c r="M5" s="69" t="n">
        <f aca="false">IF(L5=0,"No conv.",J5/L5)</f>
        <v>22.5</v>
      </c>
    </row>
    <row r="6" customFormat="false" ht="15" hidden="false" customHeight="false" outlineLevel="0" collapsed="false">
      <c r="A6" s="90" t="s">
        <v>75</v>
      </c>
      <c r="B6" s="78" t="s">
        <v>162</v>
      </c>
      <c r="C6" s="78" t="s">
        <v>163</v>
      </c>
      <c r="D6" s="78" t="s">
        <v>146</v>
      </c>
      <c r="E6" s="78" t="s">
        <v>131</v>
      </c>
      <c r="F6" s="78" t="s">
        <v>164</v>
      </c>
      <c r="G6" s="70" t="n">
        <v>135000</v>
      </c>
      <c r="H6" s="70" t="n">
        <v>3600</v>
      </c>
      <c r="I6" s="58" t="n">
        <f aca="false">IF(G6=0,"",H6/G6)</f>
        <v>0.0266666666666667</v>
      </c>
      <c r="J6" s="72" t="n">
        <v>980</v>
      </c>
      <c r="K6" s="91" t="n">
        <f aca="false">IF(H6=0,"",J6/H6)</f>
        <v>0.272222222222222</v>
      </c>
      <c r="L6" s="70" t="n">
        <v>46</v>
      </c>
      <c r="M6" s="72" t="n">
        <f aca="false">IF(L6=0,"No conv.",J6/L6)</f>
        <v>21.304347826087</v>
      </c>
    </row>
    <row r="7" customFormat="false" ht="15" hidden="false" customHeight="false" outlineLevel="0" collapsed="false">
      <c r="A7" s="88" t="s">
        <v>75</v>
      </c>
      <c r="B7" s="75" t="s">
        <v>165</v>
      </c>
      <c r="C7" s="75" t="s">
        <v>166</v>
      </c>
      <c r="D7" s="75" t="s">
        <v>147</v>
      </c>
      <c r="E7" s="75" t="s">
        <v>167</v>
      </c>
      <c r="F7" s="75" t="s">
        <v>164</v>
      </c>
      <c r="G7" s="67" t="n">
        <v>210000</v>
      </c>
      <c r="H7" s="67" t="n">
        <v>1700</v>
      </c>
      <c r="I7" s="50" t="n">
        <f aca="false">IF(G7=0,"",H7/G7)</f>
        <v>0.0080952380952381</v>
      </c>
      <c r="J7" s="69" t="n">
        <v>340</v>
      </c>
      <c r="K7" s="89" t="n">
        <f aca="false">IF(H7=0,"",J7/H7)</f>
        <v>0.2</v>
      </c>
      <c r="L7" s="67" t="n">
        <v>0</v>
      </c>
      <c r="M7" s="69" t="str">
        <f aca="false">IF(L7=0,"No conv.",J7/L7)</f>
        <v>No conv.</v>
      </c>
    </row>
    <row r="8" customFormat="false" ht="15" hidden="false" customHeight="false" outlineLevel="0" collapsed="false">
      <c r="A8" s="80" t="s">
        <v>137</v>
      </c>
      <c r="B8" s="80" t="s">
        <v>168</v>
      </c>
      <c r="C8" s="92"/>
      <c r="D8" s="92"/>
      <c r="E8" s="92"/>
      <c r="F8" s="92"/>
      <c r="G8" s="81" t="n">
        <f aca="false">SUM(G5:G7)</f>
        <v>465000</v>
      </c>
      <c r="H8" s="81" t="n">
        <f aca="false">SUM(H5:H7)</f>
        <v>8500</v>
      </c>
      <c r="I8" s="83" t="n">
        <f aca="false">IF(G8=0,"",H8/G8)</f>
        <v>0.0182795698924731</v>
      </c>
      <c r="J8" s="93" t="n">
        <f aca="false">SUM(J5:J7)</f>
        <v>2220</v>
      </c>
      <c r="K8" s="94" t="n">
        <f aca="false">IF(H8=0,"",J8/H8)</f>
        <v>0.261176470588235</v>
      </c>
      <c r="L8" s="81" t="n">
        <f aca="false">SUM(L5:L7)</f>
        <v>86</v>
      </c>
      <c r="M8" s="93" t="n">
        <f aca="false">IF(L8=0,"",J8/L8)</f>
        <v>25.8139534883721</v>
      </c>
    </row>
    <row r="10" customFormat="false" ht="51.75" hidden="false" customHeight="true" outlineLevel="0" collapsed="false">
      <c r="A10" s="95" t="s">
        <v>139</v>
      </c>
      <c r="B10" s="95"/>
      <c r="C10" s="95"/>
      <c r="D10" s="95"/>
      <c r="E10" s="95"/>
      <c r="F10" s="95"/>
      <c r="G10" s="95"/>
      <c r="H10" s="95"/>
      <c r="I10" s="95"/>
      <c r="J10" s="95"/>
      <c r="K10" s="95"/>
      <c r="L10" s="95"/>
      <c r="M10" s="95"/>
    </row>
    <row r="11" customFormat="false" ht="15" hidden="false" customHeight="false" outlineLevel="0" collapsed="false">
      <c r="A11" s="95"/>
      <c r="B11" s="95"/>
      <c r="C11" s="95"/>
      <c r="D11" s="95"/>
      <c r="E11" s="95"/>
      <c r="F11" s="95"/>
      <c r="G11" s="95"/>
      <c r="H11" s="95"/>
      <c r="I11" s="95"/>
      <c r="J11" s="95"/>
      <c r="K11" s="95"/>
      <c r="L11" s="95"/>
      <c r="M11" s="95"/>
    </row>
    <row r="12" customFormat="false" ht="15" hidden="false" customHeight="false" outlineLevel="0" collapsed="false">
      <c r="A12" s="95"/>
      <c r="B12" s="95"/>
      <c r="C12" s="95"/>
      <c r="D12" s="95"/>
      <c r="E12" s="95"/>
      <c r="F12" s="95"/>
      <c r="G12" s="95"/>
      <c r="H12" s="95"/>
      <c r="I12" s="95"/>
      <c r="J12" s="95"/>
      <c r="K12" s="95"/>
      <c r="L12" s="95"/>
      <c r="M12" s="95"/>
    </row>
  </sheetData>
  <autoFilter ref="A4:M8"/>
  <mergeCells count="3">
    <mergeCell ref="A1:M1"/>
    <mergeCell ref="A2:M2"/>
    <mergeCell ref="A10:M12"/>
  </mergeCells>
  <conditionalFormatting sqref="M5:M7">
    <cfRule type="cellIs" priority="2" operator="equal" aboveAverage="0" equalAverage="0" bottom="0" percent="0" rank="0" text="" dxfId="0">
      <formula>"No conv."</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K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4"/>
    <col collapsed="false" customWidth="true" hidden="false" outlineLevel="0" max="3" min="3" style="0" width="17"/>
    <col collapsed="false" customWidth="true" hidden="false" outlineLevel="0" max="4" min="4" style="0" width="11"/>
    <col collapsed="false" customWidth="true" hidden="false" outlineLevel="0" max="5" min="5" style="0" width="40"/>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10" min="9" style="0" width="9"/>
    <col collapsed="false" customWidth="true" hidden="false" outlineLevel="0" max="11" min="11" style="0" width="16"/>
  </cols>
  <sheetData>
    <row r="1" customFormat="false" ht="30" hidden="false" customHeight="true" outlineLevel="0" collapsed="false">
      <c r="A1" s="1" t="s">
        <v>169</v>
      </c>
      <c r="B1" s="1"/>
      <c r="C1" s="1"/>
      <c r="D1" s="1"/>
      <c r="E1" s="1"/>
      <c r="F1" s="1"/>
      <c r="G1" s="1"/>
      <c r="H1" s="1"/>
      <c r="I1" s="1"/>
      <c r="J1" s="1"/>
      <c r="K1" s="1"/>
    </row>
    <row r="2" customFormat="false" ht="18" hidden="false" customHeight="true" outlineLevel="0" collapsed="false">
      <c r="A2" s="2" t="s">
        <v>170</v>
      </c>
      <c r="B2" s="2"/>
      <c r="C2" s="2"/>
      <c r="D2" s="2"/>
      <c r="E2" s="2"/>
      <c r="F2" s="2"/>
      <c r="G2" s="2"/>
      <c r="H2" s="2"/>
      <c r="I2" s="2"/>
      <c r="J2" s="2"/>
      <c r="K2" s="2"/>
    </row>
    <row r="4" customFormat="false" ht="27.75" hidden="false" customHeight="true" outlineLevel="0" collapsed="false">
      <c r="A4" s="16" t="s">
        <v>171</v>
      </c>
      <c r="B4" s="16" t="s">
        <v>172</v>
      </c>
      <c r="C4" s="16" t="s">
        <v>153</v>
      </c>
      <c r="D4" s="16" t="s">
        <v>59</v>
      </c>
      <c r="E4" s="16" t="s">
        <v>173</v>
      </c>
      <c r="F4" s="16" t="s">
        <v>51</v>
      </c>
      <c r="G4" s="16" t="s">
        <v>174</v>
      </c>
      <c r="H4" s="16" t="s">
        <v>155</v>
      </c>
      <c r="I4" s="16" t="s">
        <v>156</v>
      </c>
      <c r="J4" s="16" t="s">
        <v>157</v>
      </c>
      <c r="K4" s="16" t="s">
        <v>175</v>
      </c>
    </row>
    <row r="5" customFormat="false" ht="15" hidden="false" customHeight="false" outlineLevel="0" collapsed="false">
      <c r="A5" s="88" t="s">
        <v>67</v>
      </c>
      <c r="B5" s="75" t="s">
        <v>176</v>
      </c>
      <c r="C5" s="75" t="s">
        <v>177</v>
      </c>
      <c r="D5" s="75" t="s">
        <v>178</v>
      </c>
      <c r="E5" s="74" t="s">
        <v>179</v>
      </c>
      <c r="F5" s="76" t="n">
        <v>1.2</v>
      </c>
      <c r="G5" s="75" t="s">
        <v>180</v>
      </c>
      <c r="H5" s="67" t="n">
        <v>9000</v>
      </c>
      <c r="I5" s="67" t="n">
        <v>4200</v>
      </c>
      <c r="J5" s="50" t="n">
        <f aca="false">IF(H5=0,"",I5/H5)</f>
        <v>0.466666666666667</v>
      </c>
      <c r="K5" s="96" t="str">
        <f aca="false">IF(AND(F5&gt;=4,F5&lt;=10),"Yes","")</f>
        <v/>
      </c>
    </row>
    <row r="6" customFormat="false" ht="15" hidden="false" customHeight="false" outlineLevel="0" collapsed="false">
      <c r="A6" s="90" t="s">
        <v>67</v>
      </c>
      <c r="B6" s="78" t="s">
        <v>181</v>
      </c>
      <c r="C6" s="78" t="s">
        <v>131</v>
      </c>
      <c r="D6" s="78" t="s">
        <v>113</v>
      </c>
      <c r="E6" s="77" t="s">
        <v>182</v>
      </c>
      <c r="F6" s="79" t="n">
        <v>4.5</v>
      </c>
      <c r="G6" s="78" t="s">
        <v>183</v>
      </c>
      <c r="H6" s="70" t="n">
        <v>2600</v>
      </c>
      <c r="I6" s="70" t="n">
        <v>180</v>
      </c>
      <c r="J6" s="58" t="n">
        <f aca="false">IF(H6=0,"",I6/H6)</f>
        <v>0.0692307692307692</v>
      </c>
      <c r="K6" s="97" t="str">
        <f aca="false">IF(AND(F6&gt;=4,F6&lt;=10),"Yes","")</f>
        <v>Yes</v>
      </c>
    </row>
    <row r="7" customFormat="false" ht="15" hidden="false" customHeight="false" outlineLevel="0" collapsed="false">
      <c r="A7" s="88" t="s">
        <v>70</v>
      </c>
      <c r="B7" s="75" t="s">
        <v>184</v>
      </c>
      <c r="C7" s="75" t="s">
        <v>167</v>
      </c>
      <c r="D7" s="75" t="s">
        <v>113</v>
      </c>
      <c r="E7" s="74" t="s">
        <v>185</v>
      </c>
      <c r="F7" s="76" t="n">
        <v>8.1</v>
      </c>
      <c r="G7" s="75" t="s">
        <v>183</v>
      </c>
      <c r="H7" s="67" t="n">
        <v>1400</v>
      </c>
      <c r="I7" s="67" t="n">
        <v>60</v>
      </c>
      <c r="J7" s="50" t="n">
        <f aca="false">IF(H7=0,"",I7/H7)</f>
        <v>0.0428571428571429</v>
      </c>
      <c r="K7" s="96" t="str">
        <f aca="false">IF(AND(F7&gt;=4,F7&lt;=10),"Yes","")</f>
        <v>Yes</v>
      </c>
    </row>
    <row r="8" customFormat="false" ht="15" hidden="false" customHeight="false" outlineLevel="0" collapsed="false">
      <c r="A8" s="90" t="s">
        <v>71</v>
      </c>
      <c r="B8" s="78" t="s">
        <v>186</v>
      </c>
      <c r="C8" s="78" t="s">
        <v>187</v>
      </c>
      <c r="D8" s="78" t="s">
        <v>113</v>
      </c>
      <c r="E8" s="77" t="s">
        <v>188</v>
      </c>
      <c r="F8" s="79" t="n">
        <v>14</v>
      </c>
      <c r="G8" s="78" t="s">
        <v>189</v>
      </c>
      <c r="H8" s="70" t="n">
        <v>900</v>
      </c>
      <c r="I8" s="70" t="n">
        <v>20</v>
      </c>
      <c r="J8" s="58" t="n">
        <f aca="false">IF(H8=0,"",I8/H8)</f>
        <v>0.0222222222222222</v>
      </c>
      <c r="K8" s="97" t="str">
        <f aca="false">IF(AND(F8&gt;=4,F8&lt;=10),"Yes","")</f>
        <v/>
      </c>
    </row>
    <row r="9" customFormat="false" ht="15" hidden="false" customHeight="false" outlineLevel="0" collapsed="false">
      <c r="A9" s="88" t="s">
        <v>70</v>
      </c>
      <c r="B9" s="75" t="s">
        <v>190</v>
      </c>
      <c r="C9" s="75" t="s">
        <v>133</v>
      </c>
      <c r="D9" s="75" t="s">
        <v>113</v>
      </c>
      <c r="E9" s="74" t="s">
        <v>191</v>
      </c>
      <c r="F9" s="76" t="n">
        <v>22</v>
      </c>
      <c r="G9" s="75" t="s">
        <v>192</v>
      </c>
      <c r="H9" s="67" t="n">
        <v>500</v>
      </c>
      <c r="I9" s="67" t="n">
        <v>8</v>
      </c>
      <c r="J9" s="50" t="n">
        <f aca="false">IF(H9=0,"",I9/H9)</f>
        <v>0.016</v>
      </c>
      <c r="K9" s="96" t="str">
        <f aca="false">IF(AND(F9&gt;=4,F9&lt;=10),"Yes","")</f>
        <v/>
      </c>
    </row>
    <row r="11" customFormat="false" ht="51.75" hidden="false" customHeight="true" outlineLevel="0" collapsed="false">
      <c r="A11" s="85" t="s">
        <v>139</v>
      </c>
      <c r="B11" s="85"/>
      <c r="C11" s="85"/>
      <c r="D11" s="85"/>
      <c r="E11" s="85"/>
      <c r="F11" s="85"/>
      <c r="G11" s="85"/>
      <c r="H11" s="85"/>
      <c r="I11" s="85"/>
      <c r="J11" s="85"/>
      <c r="K11" s="85"/>
    </row>
    <row r="12" customFormat="false" ht="15" hidden="false" customHeight="false" outlineLevel="0" collapsed="false">
      <c r="A12" s="85"/>
      <c r="B12" s="85"/>
      <c r="C12" s="85"/>
      <c r="D12" s="85"/>
      <c r="E12" s="85"/>
      <c r="F12" s="85"/>
      <c r="G12" s="85"/>
      <c r="H12" s="85"/>
      <c r="I12" s="85"/>
      <c r="J12" s="85"/>
      <c r="K12" s="85"/>
    </row>
    <row r="13" customFormat="false" ht="15" hidden="false" customHeight="false" outlineLevel="0" collapsed="false">
      <c r="A13" s="85"/>
      <c r="B13" s="85"/>
      <c r="C13" s="85"/>
      <c r="D13" s="85"/>
      <c r="E13" s="85"/>
      <c r="F13" s="85"/>
      <c r="G13" s="85"/>
      <c r="H13" s="85"/>
      <c r="I13" s="85"/>
      <c r="J13" s="85"/>
      <c r="K13" s="85"/>
    </row>
  </sheetData>
  <autoFilter ref="A4:K9"/>
  <mergeCells count="3">
    <mergeCell ref="A1:K1"/>
    <mergeCell ref="A2:K2"/>
    <mergeCell ref="A11:K13"/>
  </mergeCells>
  <conditionalFormatting sqref="K5:K9">
    <cfRule type="cellIs" priority="2" operator="equal" aboveAverage="0" equalAverage="0" bottom="0" percent="0" rank="0" text="" dxfId="1">
      <formula>"Yes"</formula>
    </cfRule>
  </conditionalFormatting>
  <hyperlinks>
    <hyperlink ref="E5" r:id="rId2" display="https://yourdomain.com/"/>
    <hyperlink ref="E6" r:id="rId3" display="https://yourdomain.com/product-a"/>
    <hyperlink ref="E7" r:id="rId4" display="https://yourdomain.com/product-b"/>
    <hyperlink ref="E8" r:id="rId5" display="https://yourdomain.com/product-c"/>
    <hyperlink ref="E9" r:id="rId6" display="https://yourdomain.com/pric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legacyDrawing r:id="rId8"/>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8"/>
    <col collapsed="false" customWidth="true" hidden="false" outlineLevel="0" max="4" min="4" style="0" width="10"/>
    <col collapsed="false" customWidth="true" hidden="false" outlineLevel="0" max="5" min="5" style="0" width="11"/>
    <col collapsed="false" customWidth="true" hidden="false" outlineLevel="0" max="6" min="6" style="0" width="9"/>
    <col collapsed="false" customWidth="true" hidden="false" outlineLevel="0" max="7" min="7" style="0" width="11"/>
    <col collapsed="false" customWidth="true" hidden="false" outlineLevel="0" max="8" min="8" style="0" width="9"/>
    <col collapsed="false" customWidth="true" hidden="false" outlineLevel="0" max="9" min="9" style="0" width="11"/>
    <col collapsed="false" customWidth="true" hidden="false" outlineLevel="0" max="10" min="10" style="0" width="9"/>
  </cols>
  <sheetData>
    <row r="1" customFormat="false" ht="30" hidden="false" customHeight="true" outlineLevel="0" collapsed="false">
      <c r="A1" s="1" t="s">
        <v>193</v>
      </c>
      <c r="B1" s="1"/>
      <c r="C1" s="1"/>
      <c r="D1" s="1"/>
      <c r="E1" s="1"/>
      <c r="F1" s="1"/>
      <c r="G1" s="1"/>
      <c r="H1" s="1"/>
      <c r="I1" s="1"/>
      <c r="J1" s="1"/>
    </row>
    <row r="2" customFormat="false" ht="18" hidden="false" customHeight="true" outlineLevel="0" collapsed="false">
      <c r="A2" s="2" t="s">
        <v>194</v>
      </c>
      <c r="B2" s="2"/>
      <c r="C2" s="2"/>
      <c r="D2" s="2"/>
      <c r="E2" s="2"/>
      <c r="F2" s="2"/>
      <c r="G2" s="2"/>
      <c r="H2" s="2"/>
      <c r="I2" s="2"/>
      <c r="J2" s="2"/>
    </row>
    <row r="4" customFormat="false" ht="27.75" hidden="false" customHeight="true" outlineLevel="0" collapsed="false">
      <c r="A4" s="16" t="s">
        <v>195</v>
      </c>
      <c r="B4" s="16" t="s">
        <v>125</v>
      </c>
      <c r="C4" s="16" t="s">
        <v>153</v>
      </c>
      <c r="D4" s="16" t="s">
        <v>196</v>
      </c>
      <c r="E4" s="16" t="s">
        <v>197</v>
      </c>
      <c r="F4" s="16" t="s">
        <v>198</v>
      </c>
      <c r="G4" s="16" t="s">
        <v>199</v>
      </c>
      <c r="H4" s="16" t="s">
        <v>200</v>
      </c>
      <c r="I4" s="16" t="s">
        <v>201</v>
      </c>
      <c r="J4" s="16" t="s">
        <v>202</v>
      </c>
    </row>
    <row r="5" customFormat="false" ht="15" hidden="false" customHeight="false" outlineLevel="0" collapsed="false">
      <c r="A5" s="88" t="s">
        <v>203</v>
      </c>
      <c r="B5" s="75" t="s">
        <v>129</v>
      </c>
      <c r="C5" s="75" t="s">
        <v>204</v>
      </c>
      <c r="D5" s="98" t="n">
        <v>62</v>
      </c>
      <c r="E5" s="96" t="str">
        <f aca="false">IF(D5="","Pending",IF(D5&gt;=90,"Good",IF(D5&gt;=50,"Needs work","Poor")))</f>
        <v>Needs work</v>
      </c>
      <c r="F5" s="99" t="n">
        <v>2.1</v>
      </c>
      <c r="G5" s="96" t="str">
        <f aca="false">IF(F5="","Pending",IF(F5&lt;=2.5,"Good",IF(F5&lt;=4,"Needs work","Poor")))</f>
        <v>Good</v>
      </c>
      <c r="H5" s="100" t="n">
        <v>0.08</v>
      </c>
      <c r="I5" s="96" t="str">
        <f aca="false">IF(H5="","Pending",IF(H5&lt;=0.1,"Good",IF(H5&lt;=0.25,"Needs work","Poor")))</f>
        <v>Good</v>
      </c>
      <c r="J5" s="99" t="n">
        <v>0.9</v>
      </c>
    </row>
    <row r="6" customFormat="false" ht="15" hidden="false" customHeight="false" outlineLevel="0" collapsed="false">
      <c r="A6" s="90" t="s">
        <v>203</v>
      </c>
      <c r="B6" s="78" t="s">
        <v>205</v>
      </c>
      <c r="C6" s="78" t="s">
        <v>131</v>
      </c>
      <c r="D6" s="101"/>
      <c r="E6" s="97" t="str">
        <f aca="false">IF(D6="","Pending",IF(D6&gt;=90,"Good",IF(D6&gt;=50,"Needs work","Poor")))</f>
        <v>Pending</v>
      </c>
      <c r="F6" s="102"/>
      <c r="G6" s="97" t="str">
        <f aca="false">IF(F6="","Pending",IF(F6&lt;=2.5,"Good",IF(F6&lt;=4,"Needs work","Poor")))</f>
        <v>Pending</v>
      </c>
      <c r="H6" s="103"/>
      <c r="I6" s="97" t="str">
        <f aca="false">IF(H6="","Pending",IF(H6&lt;=0.1,"Good",IF(H6&lt;=0.25,"Needs work","Poor")))</f>
        <v>Pending</v>
      </c>
      <c r="J6" s="102"/>
    </row>
    <row r="7" customFormat="false" ht="15" hidden="false" customHeight="false" outlineLevel="0" collapsed="false">
      <c r="A7" s="88" t="s">
        <v>203</v>
      </c>
      <c r="B7" s="75" t="s">
        <v>206</v>
      </c>
      <c r="C7" s="75" t="s">
        <v>133</v>
      </c>
      <c r="D7" s="98"/>
      <c r="E7" s="96" t="str">
        <f aca="false">IF(D7="","Pending",IF(D7&gt;=90,"Good",IF(D7&gt;=50,"Needs work","Poor")))</f>
        <v>Pending</v>
      </c>
      <c r="F7" s="99"/>
      <c r="G7" s="96" t="str">
        <f aca="false">IF(F7="","Pending",IF(F7&lt;=2.5,"Good",IF(F7&lt;=4,"Needs work","Poor")))</f>
        <v>Pending</v>
      </c>
      <c r="H7" s="100"/>
      <c r="I7" s="96" t="str">
        <f aca="false">IF(H7="","Pending",IF(H7&lt;=0.1,"Good",IF(H7&lt;=0.25,"Needs work","Poor")))</f>
        <v>Pending</v>
      </c>
      <c r="J7" s="99"/>
    </row>
    <row r="9" customFormat="false" ht="51.75" hidden="false" customHeight="true" outlineLevel="0" collapsed="false">
      <c r="A9" s="95" t="s">
        <v>139</v>
      </c>
      <c r="B9" s="95"/>
      <c r="C9" s="95"/>
      <c r="D9" s="95"/>
      <c r="E9" s="95"/>
      <c r="F9" s="95"/>
      <c r="G9" s="95"/>
      <c r="H9" s="95"/>
      <c r="I9" s="95"/>
      <c r="J9" s="95"/>
    </row>
    <row r="10" customFormat="false" ht="15" hidden="false" customHeight="false" outlineLevel="0" collapsed="false">
      <c r="A10" s="95"/>
      <c r="B10" s="95"/>
      <c r="C10" s="95"/>
      <c r="D10" s="95"/>
      <c r="E10" s="95"/>
      <c r="F10" s="95"/>
      <c r="G10" s="95"/>
      <c r="H10" s="95"/>
      <c r="I10" s="95"/>
      <c r="J10" s="95"/>
    </row>
    <row r="11" customFormat="false" ht="15" hidden="false" customHeight="false" outlineLevel="0" collapsed="false">
      <c r="A11" s="95"/>
      <c r="B11" s="95"/>
      <c r="C11" s="95"/>
      <c r="D11" s="95"/>
      <c r="E11" s="95"/>
      <c r="F11" s="95"/>
      <c r="G11" s="95"/>
      <c r="H11" s="95"/>
      <c r="I11" s="95"/>
      <c r="J11" s="95"/>
    </row>
  </sheetData>
  <autoFilter ref="A4:J7"/>
  <mergeCells count="3">
    <mergeCell ref="A1:J1"/>
    <mergeCell ref="A2:J2"/>
    <mergeCell ref="A9:J11"/>
  </mergeCells>
  <conditionalFormatting sqref="E5:E7">
    <cfRule type="cellIs" priority="2" operator="equal" aboveAverage="0" equalAverage="0" bottom="0" percent="0" rank="0" text="" dxfId="0">
      <formula>"Poor"</formula>
    </cfRule>
    <cfRule type="cellIs" priority="3" operator="equal" aboveAverage="0" equalAverage="0" bottom="0" percent="0" rank="0" text="" dxfId="1">
      <formula>"Needs work"</formula>
    </cfRule>
    <cfRule type="cellIs" priority="4" operator="equal" aboveAverage="0" equalAverage="0" bottom="0" percent="0" rank="0" text="" dxfId="2">
      <formula>"Good"</formula>
    </cfRule>
    <cfRule type="cellIs" priority="5" operator="equal" aboveAverage="0" equalAverage="0" bottom="0" percent="0" rank="0" text="" dxfId="20">
      <formula>"Pending"</formula>
    </cfRule>
  </conditionalFormatting>
  <conditionalFormatting sqref="G5:G7">
    <cfRule type="cellIs" priority="6" operator="equal" aboveAverage="0" equalAverage="0" bottom="0" percent="0" rank="0" text="" dxfId="0">
      <formula>"Poor"</formula>
    </cfRule>
    <cfRule type="cellIs" priority="7" operator="equal" aboveAverage="0" equalAverage="0" bottom="0" percent="0" rank="0" text="" dxfId="1">
      <formula>"Needs work"</formula>
    </cfRule>
    <cfRule type="cellIs" priority="8" operator="equal" aboveAverage="0" equalAverage="0" bottom="0" percent="0" rank="0" text="" dxfId="2">
      <formula>"Good"</formula>
    </cfRule>
    <cfRule type="cellIs" priority="9" operator="equal" aboveAverage="0" equalAverage="0" bottom="0" percent="0" rank="0" text="" dxfId="20">
      <formula>"Pending"</formula>
    </cfRule>
  </conditionalFormatting>
  <conditionalFormatting sqref="I5:I7">
    <cfRule type="cellIs" priority="10" operator="equal" aboveAverage="0" equalAverage="0" bottom="0" percent="0" rank="0" text="" dxfId="0">
      <formula>"Poor"</formula>
    </cfRule>
    <cfRule type="cellIs" priority="11" operator="equal" aboveAverage="0" equalAverage="0" bottom="0" percent="0" rank="0" text="" dxfId="1">
      <formula>"Needs work"</formula>
    </cfRule>
    <cfRule type="cellIs" priority="12" operator="equal" aboveAverage="0" equalAverage="0" bottom="0" percent="0" rank="0" text="" dxfId="2">
      <formula>"Good"</formula>
    </cfRule>
    <cfRule type="cellIs" priority="13" operator="equal" aboveAverage="0" equalAverage="0" bottom="0" percent="0" rank="0" text="" dxfId="20">
      <formula>"Pending"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4" min="3" style="0" width="11"/>
    <col collapsed="false" customWidth="true" hidden="false" outlineLevel="0" max="5" min="5" style="0" width="14"/>
    <col collapsed="false" customWidth="true" hidden="false" outlineLevel="0" max="6" min="6" style="0" width="18"/>
  </cols>
  <sheetData>
    <row r="1" customFormat="false" ht="30" hidden="false" customHeight="true" outlineLevel="0" collapsed="false">
      <c r="A1" s="1" t="s">
        <v>207</v>
      </c>
      <c r="B1" s="1"/>
      <c r="C1" s="1"/>
      <c r="D1" s="1"/>
      <c r="E1" s="1"/>
      <c r="F1" s="1"/>
    </row>
    <row r="2" customFormat="false" ht="18" hidden="false" customHeight="true" outlineLevel="0" collapsed="false">
      <c r="A2" s="2" t="s">
        <v>208</v>
      </c>
      <c r="B2" s="2"/>
      <c r="C2" s="2"/>
      <c r="D2" s="2"/>
      <c r="E2" s="2"/>
      <c r="F2" s="2"/>
    </row>
    <row r="4" customFormat="false" ht="15" hidden="false" customHeight="true" outlineLevel="0" collapsed="false">
      <c r="A4" s="44" t="s">
        <v>209</v>
      </c>
      <c r="B4" s="44"/>
      <c r="C4" s="44"/>
      <c r="D4" s="44"/>
      <c r="E4" s="44"/>
      <c r="F4" s="44"/>
    </row>
    <row r="5" customFormat="false" ht="24" hidden="false" customHeight="true" outlineLevel="0" collapsed="false">
      <c r="A5" s="16" t="s">
        <v>57</v>
      </c>
      <c r="B5" s="16" t="s">
        <v>210</v>
      </c>
      <c r="C5" s="16" t="s">
        <v>41</v>
      </c>
      <c r="D5" s="16" t="s">
        <v>127</v>
      </c>
      <c r="E5" s="16" t="s">
        <v>211</v>
      </c>
    </row>
    <row r="6" customFormat="false" ht="15" hidden="false" customHeight="false" outlineLevel="0" collapsed="false">
      <c r="A6" s="88" t="s">
        <v>212</v>
      </c>
      <c r="B6" s="88" t="s">
        <v>213</v>
      </c>
      <c r="C6" s="67" t="n">
        <v>58</v>
      </c>
      <c r="D6" s="67" t="n">
        <v>0</v>
      </c>
      <c r="E6" s="68" t="n">
        <f aca="false">IF(SUM($C$6:$C$8)=0,"",C6/SUM($C$6:$C$8))</f>
        <v>0.644444444444445</v>
      </c>
    </row>
    <row r="7" customFormat="false" ht="15" hidden="false" customHeight="false" outlineLevel="0" collapsed="false">
      <c r="A7" s="90" t="s">
        <v>212</v>
      </c>
      <c r="B7" s="90" t="s">
        <v>214</v>
      </c>
      <c r="C7" s="70" t="n">
        <v>22</v>
      </c>
      <c r="D7" s="70" t="n">
        <v>0</v>
      </c>
      <c r="E7" s="71" t="n">
        <f aca="false">IF(SUM($C$6:$C$8)=0,"",C7/SUM($C$6:$C$8))</f>
        <v>0.244444444444444</v>
      </c>
    </row>
    <row r="8" customFormat="false" ht="15" hidden="false" customHeight="false" outlineLevel="0" collapsed="false">
      <c r="A8" s="88" t="s">
        <v>212</v>
      </c>
      <c r="B8" s="88" t="s">
        <v>215</v>
      </c>
      <c r="C8" s="67" t="n">
        <v>10</v>
      </c>
      <c r="D8" s="67" t="n">
        <v>0</v>
      </c>
      <c r="E8" s="68" t="n">
        <f aca="false">IF(SUM($C$6:$C$8)=0,"",C8/SUM($C$6:$C$8))</f>
        <v>0.111111111111111</v>
      </c>
    </row>
    <row r="9" customFormat="false" ht="15" hidden="false" customHeight="false" outlineLevel="0" collapsed="false">
      <c r="A9" s="80" t="s">
        <v>137</v>
      </c>
      <c r="B9" s="80" t="s">
        <v>216</v>
      </c>
      <c r="C9" s="81" t="n">
        <f aca="false">SUM(C6:C8)</f>
        <v>90</v>
      </c>
      <c r="D9" s="81" t="n">
        <f aca="false">SUM(D6:D8)</f>
        <v>0</v>
      </c>
      <c r="E9" s="82" t="n">
        <f aca="false">SUM(E6:E8)</f>
        <v>1</v>
      </c>
    </row>
    <row r="11" customFormat="false" ht="15" hidden="false" customHeight="true" outlineLevel="0" collapsed="false">
      <c r="A11" s="44" t="s">
        <v>217</v>
      </c>
      <c r="B11" s="44"/>
      <c r="C11" s="44"/>
      <c r="D11" s="44"/>
      <c r="E11" s="44"/>
      <c r="F11" s="44"/>
    </row>
    <row r="12" customFormat="false" ht="24" hidden="false" customHeight="true" outlineLevel="0" collapsed="false">
      <c r="A12" s="16" t="s">
        <v>210</v>
      </c>
      <c r="B12" s="16" t="s">
        <v>218</v>
      </c>
      <c r="C12" s="16" t="s">
        <v>219</v>
      </c>
      <c r="D12" s="16" t="s">
        <v>220</v>
      </c>
      <c r="E12" s="16" t="s">
        <v>221</v>
      </c>
      <c r="F12" s="16" t="s">
        <v>222</v>
      </c>
    </row>
    <row r="13" customFormat="false" ht="15" hidden="false" customHeight="false" outlineLevel="0" collapsed="false">
      <c r="A13" s="88" t="s">
        <v>213</v>
      </c>
      <c r="B13" s="104"/>
      <c r="C13" s="104"/>
      <c r="D13" s="105"/>
      <c r="E13" s="105"/>
      <c r="F13" s="106" t="s">
        <v>223</v>
      </c>
    </row>
    <row r="14" customFormat="false" ht="15" hidden="false" customHeight="false" outlineLevel="0" collapsed="false">
      <c r="A14" s="90" t="s">
        <v>214</v>
      </c>
      <c r="B14" s="107"/>
      <c r="C14" s="107"/>
      <c r="D14" s="108"/>
      <c r="E14" s="108"/>
      <c r="F14" s="109" t="s">
        <v>223</v>
      </c>
    </row>
    <row r="15" customFormat="false" ht="15" hidden="false" customHeight="false" outlineLevel="0" collapsed="false">
      <c r="A15" s="88" t="s">
        <v>215</v>
      </c>
      <c r="B15" s="104"/>
      <c r="C15" s="104"/>
      <c r="D15" s="105"/>
      <c r="E15" s="105"/>
      <c r="F15" s="106" t="s">
        <v>223</v>
      </c>
    </row>
    <row r="17" customFormat="false" ht="15" hidden="false" customHeight="true" outlineLevel="0" collapsed="false">
      <c r="A17" s="110" t="s">
        <v>224</v>
      </c>
      <c r="B17" s="110"/>
      <c r="C17" s="110"/>
      <c r="D17" s="110"/>
      <c r="E17" s="110"/>
      <c r="F17" s="110"/>
    </row>
    <row r="18" customFormat="false" ht="51.75" hidden="false" customHeight="true" outlineLevel="0" collapsed="false">
      <c r="A18" s="85" t="s">
        <v>139</v>
      </c>
      <c r="B18" s="85"/>
      <c r="C18" s="85"/>
      <c r="D18" s="85"/>
      <c r="E18" s="85"/>
      <c r="F18" s="85"/>
    </row>
    <row r="19" customFormat="false" ht="15" hidden="false" customHeight="false" outlineLevel="0" collapsed="false">
      <c r="A19" s="85"/>
      <c r="B19" s="85"/>
      <c r="C19" s="85"/>
      <c r="D19" s="85"/>
      <c r="E19" s="85"/>
      <c r="F19" s="85"/>
    </row>
    <row r="20" customFormat="false" ht="15" hidden="false" customHeight="false" outlineLevel="0" collapsed="false">
      <c r="A20" s="85"/>
      <c r="B20" s="85"/>
      <c r="C20" s="85"/>
      <c r="D20" s="85"/>
      <c r="E20" s="85"/>
      <c r="F20" s="85"/>
    </row>
  </sheetData>
  <autoFilter ref="A5:E9"/>
  <mergeCells count="6">
    <mergeCell ref="A1:F1"/>
    <mergeCell ref="A2:F2"/>
    <mergeCell ref="A4:F4"/>
    <mergeCell ref="A11:F11"/>
    <mergeCell ref="A17:F17"/>
    <mergeCell ref="A18: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13"/>
    <col collapsed="false" customWidth="true" hidden="false" outlineLevel="0" max="4" min="4" style="0" width="12"/>
  </cols>
  <sheetData>
    <row r="1" customFormat="false" ht="30" hidden="false" customHeight="true" outlineLevel="0" collapsed="false">
      <c r="A1" s="1" t="s">
        <v>225</v>
      </c>
      <c r="B1" s="1"/>
      <c r="C1" s="1"/>
      <c r="D1" s="1"/>
    </row>
    <row r="2" customFormat="false" ht="18" hidden="false" customHeight="true" outlineLevel="0" collapsed="false">
      <c r="A2" s="2" t="s">
        <v>226</v>
      </c>
      <c r="B2" s="2"/>
      <c r="C2" s="2"/>
      <c r="D2" s="2"/>
    </row>
    <row r="4" customFormat="false" ht="27.75" hidden="false" customHeight="true" outlineLevel="0" collapsed="false">
      <c r="A4" s="16" t="s">
        <v>153</v>
      </c>
      <c r="B4" s="16" t="s">
        <v>227</v>
      </c>
      <c r="C4" s="16" t="s">
        <v>210</v>
      </c>
      <c r="D4" s="16" t="s">
        <v>228</v>
      </c>
    </row>
    <row r="5" customFormat="false" ht="15" hidden="false" customHeight="false" outlineLevel="0" collapsed="false">
      <c r="A5" s="88" t="s">
        <v>131</v>
      </c>
      <c r="B5" s="88" t="s">
        <v>229</v>
      </c>
      <c r="C5" s="75" t="s">
        <v>213</v>
      </c>
      <c r="D5" s="75"/>
    </row>
    <row r="6" customFormat="false" ht="15" hidden="false" customHeight="false" outlineLevel="0" collapsed="false">
      <c r="A6" s="90" t="s">
        <v>167</v>
      </c>
      <c r="B6" s="90" t="s">
        <v>230</v>
      </c>
      <c r="C6" s="78" t="s">
        <v>214</v>
      </c>
      <c r="D6" s="78"/>
    </row>
    <row r="7" customFormat="false" ht="15" hidden="false" customHeight="false" outlineLevel="0" collapsed="false">
      <c r="A7" s="88" t="s">
        <v>187</v>
      </c>
      <c r="B7" s="88" t="s">
        <v>231</v>
      </c>
      <c r="C7" s="75" t="s">
        <v>215</v>
      </c>
      <c r="D7" s="75"/>
    </row>
    <row r="9" customFormat="false" ht="15" hidden="false" customHeight="false" outlineLevel="0" collapsed="false">
      <c r="A9" s="111" t="s">
        <v>232</v>
      </c>
      <c r="B9" s="112" t="str">
        <f aca="false">COUNTIF(D5:D7,"Yes")&amp;" of "&amp;COUNTA(D5:D7)&amp;" prompts appearing (fill the Appearing column to populate)"</f>
        <v>0 of 0 prompts appearing (fill the Appearing column to populate)</v>
      </c>
    </row>
    <row r="10" customFormat="false" ht="45.75" hidden="false" customHeight="true" outlineLevel="0" collapsed="false">
      <c r="A10" s="85" t="s">
        <v>139</v>
      </c>
      <c r="B10" s="85"/>
      <c r="C10" s="85"/>
      <c r="D10" s="85"/>
    </row>
    <row r="11" customFormat="false" ht="15" hidden="false" customHeight="false" outlineLevel="0" collapsed="false">
      <c r="A11" s="85"/>
      <c r="B11" s="85"/>
      <c r="C11" s="85"/>
      <c r="D11" s="85"/>
    </row>
    <row r="12" customFormat="false" ht="15" hidden="false" customHeight="false" outlineLevel="0" collapsed="false">
      <c r="A12" s="85"/>
      <c r="B12" s="85"/>
      <c r="C12" s="85"/>
      <c r="D12" s="85"/>
    </row>
  </sheetData>
  <autoFilter ref="A4:D7"/>
  <mergeCells count="3">
    <mergeCell ref="A1:D1"/>
    <mergeCell ref="A2:D2"/>
    <mergeCell ref="A10:D12"/>
  </mergeCells>
  <conditionalFormatting sqref="D5:D7">
    <cfRule type="cellIs" priority="2" operator="equal" aboveAverage="0" equalAverage="0" bottom="0" percent="0" rank="0" text="" dxfId="0">
      <formula>"No"</formula>
    </cfRule>
    <cfRule type="cellIs" priority="3" operator="equal" aboveAverage="0" equalAverage="0" bottom="0" percent="0" rank="0" text="" dxfId="2">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4"/>
    <col collapsed="false" customWidth="true" hidden="false" outlineLevel="0" max="4" min="4" style="0" width="18"/>
    <col collapsed="false" customWidth="true" hidden="false" outlineLevel="0" max="5" min="5" style="0" width="13"/>
    <col collapsed="false" customWidth="true" hidden="false" outlineLevel="0" max="6" min="6" style="0" width="50"/>
    <col collapsed="false" customWidth="true" hidden="false" outlineLevel="0" max="7" min="7" style="0" width="52"/>
  </cols>
  <sheetData>
    <row r="1" customFormat="false" ht="30" hidden="false" customHeight="true" outlineLevel="0" collapsed="false">
      <c r="A1" s="1" t="s">
        <v>233</v>
      </c>
      <c r="B1" s="1"/>
      <c r="C1" s="1"/>
      <c r="D1" s="1"/>
      <c r="E1" s="1"/>
      <c r="F1" s="1"/>
      <c r="G1" s="1"/>
    </row>
    <row r="2" customFormat="false" ht="18" hidden="false" customHeight="true" outlineLevel="0" collapsed="false">
      <c r="A2" s="2" t="s">
        <v>234</v>
      </c>
      <c r="B2" s="2"/>
      <c r="C2" s="2"/>
      <c r="D2" s="2"/>
      <c r="E2" s="2"/>
      <c r="F2" s="2"/>
      <c r="G2" s="2"/>
    </row>
    <row r="4" customFormat="false" ht="27.75" hidden="false" customHeight="true" outlineLevel="0" collapsed="false">
      <c r="A4" s="16" t="s">
        <v>235</v>
      </c>
      <c r="B4" s="16" t="s">
        <v>236</v>
      </c>
      <c r="C4" s="16" t="s">
        <v>237</v>
      </c>
      <c r="D4" s="16" t="s">
        <v>153</v>
      </c>
      <c r="E4" s="16" t="s">
        <v>142</v>
      </c>
      <c r="F4" s="16" t="s">
        <v>238</v>
      </c>
      <c r="G4" s="16" t="s">
        <v>239</v>
      </c>
    </row>
    <row r="5" customFormat="false" ht="54" hidden="false" customHeight="true" outlineLevel="0" collapsed="false">
      <c r="A5" s="75" t="s">
        <v>240</v>
      </c>
      <c r="B5" s="75" t="s">
        <v>241</v>
      </c>
      <c r="C5" s="113" t="s">
        <v>242</v>
      </c>
      <c r="D5" s="75" t="s">
        <v>243</v>
      </c>
      <c r="E5" s="75" t="s">
        <v>244</v>
      </c>
      <c r="F5" s="113" t="s">
        <v>245</v>
      </c>
      <c r="G5" s="113" t="s">
        <v>246</v>
      </c>
    </row>
    <row r="6" customFormat="false" ht="54" hidden="false" customHeight="true" outlineLevel="0" collapsed="false">
      <c r="A6" s="78" t="s">
        <v>240</v>
      </c>
      <c r="B6" s="78" t="s">
        <v>241</v>
      </c>
      <c r="C6" s="114" t="s">
        <v>247</v>
      </c>
      <c r="D6" s="78" t="s">
        <v>243</v>
      </c>
      <c r="E6" s="78" t="s">
        <v>243</v>
      </c>
      <c r="F6" s="114" t="s">
        <v>248</v>
      </c>
      <c r="G6" s="114" t="s">
        <v>249</v>
      </c>
    </row>
    <row r="7" customFormat="false" ht="54" hidden="false" customHeight="true" outlineLevel="0" collapsed="false">
      <c r="A7" s="75" t="s">
        <v>250</v>
      </c>
      <c r="B7" s="75" t="s">
        <v>251</v>
      </c>
      <c r="C7" s="113" t="s">
        <v>252</v>
      </c>
      <c r="D7" s="75" t="s">
        <v>243</v>
      </c>
      <c r="E7" s="75" t="s">
        <v>253</v>
      </c>
      <c r="F7" s="113" t="s">
        <v>254</v>
      </c>
      <c r="G7" s="113" t="s">
        <v>255</v>
      </c>
    </row>
  </sheetData>
  <autoFilter ref="A4:G7"/>
  <mergeCells count="2">
    <mergeCell ref="A1:G1"/>
    <mergeCell ref="A2:G2"/>
  </mergeCells>
  <conditionalFormatting sqref="B5:B7">
    <cfRule type="cellIs" priority="2" operator="equal" aboveAverage="0" equalAverage="0" bottom="0" percent="0" rank="0" text="" dxfId="0">
      <formula>"High"</formula>
    </cfRule>
    <cfRule type="cellIs" priority="3" operator="equal" aboveAverage="0" equalAverage="0" bottom="0" percent="0" rank="0" text="" dxfId="1">
      <formula>"Medium"</formula>
    </cfRule>
    <cfRule type="cellIs" priority="4" operator="equal" aboveAverage="0" equalAverage="0" bottom="0" percent="0" rank="0" text="" dxfId="21">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13"/>
    <col collapsed="false" customWidth="true" hidden="false" outlineLevel="0" max="4" min="4" style="0" width="10"/>
    <col collapsed="false" customWidth="true" hidden="false" outlineLevel="0" max="5" min="5" style="0" width="16"/>
  </cols>
  <sheetData>
    <row r="1" customFormat="false" ht="30" hidden="false" customHeight="true" outlineLevel="0" collapsed="false">
      <c r="A1" s="1" t="s">
        <v>256</v>
      </c>
      <c r="B1" s="1"/>
      <c r="C1" s="1"/>
      <c r="D1" s="1"/>
      <c r="E1" s="1"/>
    </row>
    <row r="2" customFormat="false" ht="18" hidden="false" customHeight="true" outlineLevel="0" collapsed="false">
      <c r="A2" s="2" t="s">
        <v>257</v>
      </c>
      <c r="B2" s="2"/>
      <c r="C2" s="2"/>
      <c r="D2" s="2"/>
      <c r="E2" s="2"/>
    </row>
    <row r="4" customFormat="false" ht="27.75" hidden="false" customHeight="true" outlineLevel="0" collapsed="false">
      <c r="A4" s="16" t="s">
        <v>57</v>
      </c>
      <c r="B4" s="16" t="s">
        <v>258</v>
      </c>
      <c r="C4" s="16" t="s">
        <v>41</v>
      </c>
      <c r="D4" s="16" t="s">
        <v>127</v>
      </c>
      <c r="E4" s="16" t="s">
        <v>259</v>
      </c>
    </row>
    <row r="5" customFormat="false" ht="15" hidden="false" customHeight="false" outlineLevel="0" collapsed="false">
      <c r="A5" s="88" t="s">
        <v>212</v>
      </c>
      <c r="B5" s="75" t="s">
        <v>260</v>
      </c>
      <c r="C5" s="67" t="n">
        <v>3050</v>
      </c>
      <c r="D5" s="67" t="n">
        <v>30</v>
      </c>
      <c r="E5" s="68" t="n">
        <f aca="false">IF(SUM($C$5:$C$7)=0,"",C5/SUM($C$5:$C$7))</f>
        <v>0.616161616161616</v>
      </c>
    </row>
    <row r="6" customFormat="false" ht="15" hidden="false" customHeight="false" outlineLevel="0" collapsed="false">
      <c r="A6" s="90" t="s">
        <v>212</v>
      </c>
      <c r="B6" s="78" t="s">
        <v>261</v>
      </c>
      <c r="C6" s="70" t="n">
        <v>1320</v>
      </c>
      <c r="D6" s="70" t="n">
        <v>0</v>
      </c>
      <c r="E6" s="71" t="n">
        <f aca="false">IF(SUM($C$5:$C$7)=0,"",C6/SUM($C$5:$C$7))</f>
        <v>0.266666666666667</v>
      </c>
    </row>
    <row r="7" customFormat="false" ht="15" hidden="false" customHeight="false" outlineLevel="0" collapsed="false">
      <c r="A7" s="88" t="s">
        <v>212</v>
      </c>
      <c r="B7" s="75" t="s">
        <v>262</v>
      </c>
      <c r="C7" s="67" t="n">
        <v>580</v>
      </c>
      <c r="D7" s="67" t="n">
        <v>0</v>
      </c>
      <c r="E7" s="68" t="n">
        <f aca="false">IF(SUM($C$5:$C$7)=0,"",C7/SUM($C$5:$C$7))</f>
        <v>0.117171717171717</v>
      </c>
    </row>
    <row r="8" customFormat="false" ht="15" hidden="false" customHeight="false" outlineLevel="0" collapsed="false">
      <c r="A8" s="80" t="s">
        <v>137</v>
      </c>
      <c r="B8" s="80" t="s">
        <v>263</v>
      </c>
      <c r="C8" s="81" t="n">
        <f aca="false">SUM(C5:C7)</f>
        <v>4950</v>
      </c>
      <c r="D8" s="81" t="n">
        <f aca="false">SUM(D5:D7)</f>
        <v>30</v>
      </c>
      <c r="E8" s="82" t="n">
        <f aca="false">SUM(E5:E7)</f>
        <v>1</v>
      </c>
    </row>
    <row r="10" customFormat="false" ht="51.75" hidden="false" customHeight="true" outlineLevel="0" collapsed="false">
      <c r="A10" s="95" t="s">
        <v>139</v>
      </c>
      <c r="B10" s="95"/>
      <c r="C10" s="95"/>
      <c r="D10" s="95"/>
      <c r="E10" s="95"/>
    </row>
    <row r="11" customFormat="false" ht="15" hidden="false" customHeight="false" outlineLevel="0" collapsed="false">
      <c r="A11" s="95"/>
      <c r="B11" s="95"/>
      <c r="C11" s="95"/>
      <c r="D11" s="95"/>
      <c r="E11" s="95"/>
    </row>
    <row r="12" customFormat="false" ht="15" hidden="false" customHeight="false" outlineLevel="0" collapsed="false">
      <c r="A12" s="95"/>
      <c r="B12" s="95"/>
      <c r="C12" s="95"/>
      <c r="D12" s="95"/>
      <c r="E12" s="95"/>
    </row>
  </sheetData>
  <autoFilter ref="A4:E8"/>
  <mergeCells count="3">
    <mergeCell ref="A1:E1"/>
    <mergeCell ref="A2:E2"/>
    <mergeCell ref="A10: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92"/>
  </cols>
  <sheetData>
    <row r="1" customFormat="false" ht="30" hidden="false" customHeight="true" outlineLevel="0" collapsed="false">
      <c r="A1" s="1" t="s">
        <v>264</v>
      </c>
      <c r="B1" s="1"/>
      <c r="C1" s="1"/>
    </row>
    <row r="2" customFormat="false" ht="18" hidden="false" customHeight="true" outlineLevel="0" collapsed="false">
      <c r="A2" s="2" t="s">
        <v>265</v>
      </c>
      <c r="B2" s="2"/>
      <c r="C2" s="2"/>
    </row>
    <row r="4" customFormat="false" ht="21.75" hidden="false" customHeight="true" outlineLevel="0" collapsed="false">
      <c r="B4" s="16" t="s">
        <v>266</v>
      </c>
      <c r="C4" s="16" t="s">
        <v>40</v>
      </c>
    </row>
    <row r="5" customFormat="false" ht="24" hidden="false" customHeight="true" outlineLevel="0" collapsed="false">
      <c r="B5" s="115" t="s">
        <v>53</v>
      </c>
      <c r="C5" s="5" t="s">
        <v>267</v>
      </c>
    </row>
    <row r="6" customFormat="false" ht="24" hidden="false" customHeight="true" outlineLevel="0" collapsed="false">
      <c r="B6" s="116" t="s">
        <v>64</v>
      </c>
      <c r="C6" s="117" t="s">
        <v>268</v>
      </c>
    </row>
    <row r="7" customFormat="false" ht="24" hidden="false" customHeight="true" outlineLevel="0" collapsed="false">
      <c r="B7" s="115" t="s">
        <v>269</v>
      </c>
      <c r="C7" s="5" t="s">
        <v>270</v>
      </c>
    </row>
    <row r="8" customFormat="false" ht="24" hidden="false" customHeight="true" outlineLevel="0" collapsed="false">
      <c r="B8" s="116" t="s">
        <v>51</v>
      </c>
      <c r="C8" s="117" t="s">
        <v>271</v>
      </c>
    </row>
    <row r="9" customFormat="false" ht="24" hidden="false" customHeight="true" outlineLevel="0" collapsed="false">
      <c r="B9" s="115" t="s">
        <v>272</v>
      </c>
      <c r="C9" s="5" t="s">
        <v>273</v>
      </c>
    </row>
    <row r="10" customFormat="false" ht="24" hidden="false" customHeight="true" outlineLevel="0" collapsed="false">
      <c r="B10" s="116" t="s">
        <v>274</v>
      </c>
      <c r="C10" s="117" t="s">
        <v>275</v>
      </c>
    </row>
    <row r="11" customFormat="false" ht="24" hidden="false" customHeight="true" outlineLevel="0" collapsed="false">
      <c r="B11" s="115" t="s">
        <v>46</v>
      </c>
      <c r="C11" s="5" t="s">
        <v>276</v>
      </c>
    </row>
    <row r="12" customFormat="false" ht="24" hidden="false" customHeight="true" outlineLevel="0" collapsed="false">
      <c r="B12" s="116" t="s">
        <v>156</v>
      </c>
      <c r="C12" s="117" t="s">
        <v>277</v>
      </c>
    </row>
    <row r="13" customFormat="false" ht="24" hidden="false" customHeight="true" outlineLevel="0" collapsed="false">
      <c r="B13" s="115" t="s">
        <v>200</v>
      </c>
      <c r="C13" s="5" t="s">
        <v>278</v>
      </c>
    </row>
    <row r="14" customFormat="false" ht="24" hidden="false" customHeight="true" outlineLevel="0" collapsed="false">
      <c r="B14" s="116" t="s">
        <v>44</v>
      </c>
      <c r="C14" s="117" t="s">
        <v>279</v>
      </c>
    </row>
    <row r="15" customFormat="false" ht="24" hidden="false" customHeight="true" outlineLevel="0" collapsed="false">
      <c r="B15" s="115" t="s">
        <v>105</v>
      </c>
      <c r="C15" s="5" t="s">
        <v>280</v>
      </c>
    </row>
    <row r="16" customFormat="false" ht="24" hidden="false" customHeight="true" outlineLevel="0" collapsed="false">
      <c r="B16" s="116" t="s">
        <v>281</v>
      </c>
      <c r="C16" s="117" t="s">
        <v>282</v>
      </c>
    </row>
    <row r="17" customFormat="false" ht="24" hidden="false" customHeight="true" outlineLevel="0" collapsed="false">
      <c r="B17" s="115" t="s">
        <v>283</v>
      </c>
      <c r="C17" s="5" t="s">
        <v>284</v>
      </c>
    </row>
    <row r="18" customFormat="false" ht="24" hidden="false" customHeight="true" outlineLevel="0" collapsed="false">
      <c r="B18" s="116" t="s">
        <v>285</v>
      </c>
      <c r="C18" s="117" t="s">
        <v>286</v>
      </c>
    </row>
    <row r="19" customFormat="false" ht="24" hidden="false" customHeight="true" outlineLevel="0" collapsed="false">
      <c r="B19" s="115" t="s">
        <v>157</v>
      </c>
      <c r="C19" s="5" t="s">
        <v>287</v>
      </c>
    </row>
    <row r="20" customFormat="false" ht="24" hidden="false" customHeight="true" outlineLevel="0" collapsed="false">
      <c r="B20" s="116" t="s">
        <v>288</v>
      </c>
      <c r="C20" s="117" t="s">
        <v>289</v>
      </c>
    </row>
    <row r="21" customFormat="false" ht="24" hidden="false" customHeight="true" outlineLevel="0" collapsed="false">
      <c r="B21" s="115" t="s">
        <v>45</v>
      </c>
      <c r="C21" s="5" t="s">
        <v>290</v>
      </c>
    </row>
    <row r="22" customFormat="false" ht="24" hidden="false" customHeight="true" outlineLevel="0" collapsed="false">
      <c r="B22" s="116" t="s">
        <v>155</v>
      </c>
      <c r="C22" s="117" t="s">
        <v>291</v>
      </c>
    </row>
    <row r="23" customFormat="false" ht="24" hidden="false" customHeight="true" outlineLevel="0" collapsed="false">
      <c r="B23" s="115" t="s">
        <v>292</v>
      </c>
      <c r="C23" s="5" t="s">
        <v>293</v>
      </c>
    </row>
    <row r="24" customFormat="false" ht="24" hidden="false" customHeight="true" outlineLevel="0" collapsed="false">
      <c r="B24" s="116" t="s">
        <v>294</v>
      </c>
      <c r="C24" s="117" t="s">
        <v>295</v>
      </c>
    </row>
    <row r="25" customFormat="false" ht="24" hidden="false" customHeight="true" outlineLevel="0" collapsed="false">
      <c r="B25" s="115" t="s">
        <v>127</v>
      </c>
      <c r="C25" s="5" t="s">
        <v>296</v>
      </c>
    </row>
    <row r="26" customFormat="false" ht="24" hidden="false" customHeight="true" outlineLevel="0" collapsed="false">
      <c r="B26" s="116" t="s">
        <v>52</v>
      </c>
      <c r="C26" s="117" t="s">
        <v>297</v>
      </c>
    </row>
    <row r="27" customFormat="false" ht="24" hidden="false" customHeight="true" outlineLevel="0" collapsed="false">
      <c r="B27" s="115" t="s">
        <v>253</v>
      </c>
      <c r="C27" s="5" t="s">
        <v>298</v>
      </c>
    </row>
    <row r="28" customFormat="false" ht="24" hidden="false" customHeight="true" outlineLevel="0" collapsed="false">
      <c r="B28" s="116" t="s">
        <v>49</v>
      </c>
      <c r="C28" s="117" t="s">
        <v>299</v>
      </c>
    </row>
    <row r="29" customFormat="false" ht="24" hidden="false" customHeight="true" outlineLevel="0" collapsed="false">
      <c r="B29" s="115" t="s">
        <v>50</v>
      </c>
      <c r="C29" s="5" t="s">
        <v>300</v>
      </c>
    </row>
    <row r="30" customFormat="false" ht="24" hidden="false" customHeight="true" outlineLevel="0" collapsed="false">
      <c r="B30" s="116" t="s">
        <v>301</v>
      </c>
      <c r="C30" s="117" t="s">
        <v>302</v>
      </c>
    </row>
    <row r="31" customFormat="false" ht="24" hidden="false" customHeight="true" outlineLevel="0" collapsed="false">
      <c r="B31" s="115" t="s">
        <v>303</v>
      </c>
      <c r="C31" s="5" t="s">
        <v>304</v>
      </c>
    </row>
    <row r="32" customFormat="false" ht="24" hidden="false" customHeight="true" outlineLevel="0" collapsed="false">
      <c r="B32" s="116" t="s">
        <v>146</v>
      </c>
      <c r="C32" s="117" t="s">
        <v>305</v>
      </c>
    </row>
    <row r="33" customFormat="false" ht="24" hidden="false" customHeight="true" outlineLevel="0" collapsed="false">
      <c r="B33" s="115" t="s">
        <v>147</v>
      </c>
      <c r="C33" s="5" t="s">
        <v>306</v>
      </c>
    </row>
    <row r="34" customFormat="false" ht="24" hidden="false" customHeight="true" outlineLevel="0" collapsed="false">
      <c r="B34" s="116" t="s">
        <v>104</v>
      </c>
      <c r="C34" s="117" t="s">
        <v>307</v>
      </c>
    </row>
    <row r="35" customFormat="false" ht="24" hidden="false" customHeight="true" outlineLevel="0" collapsed="false">
      <c r="B35" s="115" t="s">
        <v>308</v>
      </c>
      <c r="C35" s="5" t="s">
        <v>309</v>
      </c>
    </row>
    <row r="36" customFormat="false" ht="24" hidden="false" customHeight="true" outlineLevel="0" collapsed="false">
      <c r="B36" s="116" t="s">
        <v>43</v>
      </c>
      <c r="C36" s="117" t="s">
        <v>310</v>
      </c>
    </row>
    <row r="37" customFormat="false" ht="24" hidden="false" customHeight="true" outlineLevel="0" collapsed="false">
      <c r="B37" s="115" t="s">
        <v>311</v>
      </c>
      <c r="C37" s="5" t="s">
        <v>312</v>
      </c>
    </row>
    <row r="38" customFormat="false" ht="24" hidden="false" customHeight="true" outlineLevel="0" collapsed="false">
      <c r="B38" s="116" t="s">
        <v>63</v>
      </c>
      <c r="C38" s="117" t="s">
        <v>313</v>
      </c>
    </row>
    <row r="39" customFormat="false" ht="24" hidden="false" customHeight="true" outlineLevel="0" collapsed="false">
      <c r="B39" s="115" t="s">
        <v>314</v>
      </c>
      <c r="C39" s="5" t="s">
        <v>315</v>
      </c>
    </row>
    <row r="40" customFormat="false" ht="24" hidden="false" customHeight="true" outlineLevel="0" collapsed="false">
      <c r="B40" s="116" t="s">
        <v>221</v>
      </c>
      <c r="C40" s="117" t="s">
        <v>316</v>
      </c>
    </row>
    <row r="41" customFormat="false" ht="24" hidden="false" customHeight="true" outlineLevel="0" collapsed="false">
      <c r="B41" s="115" t="s">
        <v>317</v>
      </c>
      <c r="C41" s="5" t="s">
        <v>318</v>
      </c>
    </row>
    <row r="42" customFormat="false" ht="24" hidden="false" customHeight="true" outlineLevel="0" collapsed="false">
      <c r="B42" s="116" t="s">
        <v>60</v>
      </c>
      <c r="C42" s="117" t="s">
        <v>319</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3" min="2" style="0" width="30"/>
    <col collapsed="false" customWidth="true" hidden="false" outlineLevel="0" max="4" min="4" style="0" width="46"/>
    <col collapsed="false" customWidth="true" hidden="false" outlineLevel="0" max="5" min="5" style="0" width="12"/>
  </cols>
  <sheetData>
    <row r="1" customFormat="false" ht="30" hidden="false" customHeight="true" outlineLevel="0" collapsed="false">
      <c r="A1" s="1" t="s">
        <v>320</v>
      </c>
      <c r="B1" s="1"/>
      <c r="C1" s="1"/>
      <c r="D1" s="1"/>
      <c r="E1" s="1"/>
    </row>
    <row r="2" customFormat="false" ht="18" hidden="false" customHeight="true" outlineLevel="0" collapsed="false">
      <c r="A2" s="2" t="s">
        <v>321</v>
      </c>
      <c r="B2" s="2"/>
      <c r="C2" s="2"/>
      <c r="D2" s="2"/>
      <c r="E2" s="2"/>
    </row>
    <row r="4" customFormat="false" ht="24" hidden="false" customHeight="true" outlineLevel="0" collapsed="false">
      <c r="A4" s="16" t="s">
        <v>222</v>
      </c>
      <c r="B4" s="16" t="s">
        <v>322</v>
      </c>
      <c r="C4" s="16" t="s">
        <v>323</v>
      </c>
      <c r="D4" s="16" t="s">
        <v>324</v>
      </c>
      <c r="E4" s="16" t="s">
        <v>325</v>
      </c>
    </row>
    <row r="5" customFormat="false" ht="30" hidden="false" customHeight="true" outlineLevel="0" collapsed="false">
      <c r="A5" s="118" t="s">
        <v>326</v>
      </c>
      <c r="B5" s="46" t="s">
        <v>327</v>
      </c>
      <c r="C5" s="46" t="s">
        <v>328</v>
      </c>
      <c r="D5" s="5" t="s">
        <v>329</v>
      </c>
      <c r="E5" s="119" t="s">
        <v>330</v>
      </c>
    </row>
    <row r="6" customFormat="false" ht="30" hidden="false" customHeight="true" outlineLevel="0" collapsed="false">
      <c r="A6" s="120" t="s">
        <v>331</v>
      </c>
      <c r="B6" s="54" t="s">
        <v>332</v>
      </c>
      <c r="C6" s="54" t="s">
        <v>333</v>
      </c>
      <c r="D6" s="117" t="s">
        <v>334</v>
      </c>
      <c r="E6" s="119" t="s">
        <v>330</v>
      </c>
    </row>
    <row r="7" customFormat="false" ht="30" hidden="false" customHeight="true" outlineLevel="0" collapsed="false">
      <c r="A7" s="118" t="s">
        <v>335</v>
      </c>
      <c r="B7" s="46" t="s">
        <v>335</v>
      </c>
      <c r="C7" s="46" t="s">
        <v>336</v>
      </c>
      <c r="D7" s="5" t="s">
        <v>337</v>
      </c>
      <c r="E7" s="119" t="s">
        <v>330</v>
      </c>
    </row>
    <row r="8" customFormat="false" ht="30" hidden="false" customHeight="true" outlineLevel="0" collapsed="false">
      <c r="A8" s="120" t="s">
        <v>338</v>
      </c>
      <c r="B8" s="54" t="s">
        <v>339</v>
      </c>
      <c r="C8" s="54" t="s">
        <v>340</v>
      </c>
      <c r="D8" s="117" t="s">
        <v>341</v>
      </c>
      <c r="E8" s="119" t="s">
        <v>330</v>
      </c>
    </row>
    <row r="9" customFormat="false" ht="30" hidden="false" customHeight="true" outlineLevel="0" collapsed="false">
      <c r="A9" s="118" t="s">
        <v>342</v>
      </c>
      <c r="B9" s="46" t="s">
        <v>343</v>
      </c>
      <c r="C9" s="46" t="s">
        <v>344</v>
      </c>
      <c r="D9" s="5" t="s">
        <v>345</v>
      </c>
      <c r="E9" s="119" t="s">
        <v>330</v>
      </c>
    </row>
    <row r="10" customFormat="false" ht="30" hidden="false" customHeight="true" outlineLevel="0" collapsed="false">
      <c r="A10" s="120" t="s">
        <v>346</v>
      </c>
      <c r="B10" s="54" t="s">
        <v>347</v>
      </c>
      <c r="C10" s="54" t="s">
        <v>348</v>
      </c>
      <c r="D10" s="117" t="s">
        <v>349</v>
      </c>
      <c r="E10" s="119" t="s">
        <v>330</v>
      </c>
    </row>
    <row r="11" customFormat="false" ht="30" hidden="false" customHeight="true" outlineLevel="0" collapsed="false">
      <c r="A11" s="118" t="s">
        <v>350</v>
      </c>
      <c r="B11" s="46" t="s">
        <v>350</v>
      </c>
      <c r="C11" s="46" t="s">
        <v>351</v>
      </c>
      <c r="D11" s="5" t="s">
        <v>352</v>
      </c>
      <c r="E11" s="119" t="s">
        <v>330</v>
      </c>
    </row>
    <row r="12" customFormat="false" ht="30" hidden="false" customHeight="true" outlineLevel="0" collapsed="false">
      <c r="A12" s="120" t="s">
        <v>353</v>
      </c>
      <c r="B12" s="54" t="s">
        <v>354</v>
      </c>
      <c r="C12" s="54" t="s">
        <v>355</v>
      </c>
      <c r="D12" s="117" t="s">
        <v>356</v>
      </c>
      <c r="E12" s="119" t="s">
        <v>330</v>
      </c>
    </row>
    <row r="13" customFormat="false" ht="30" hidden="false" customHeight="true" outlineLevel="0" collapsed="false">
      <c r="A13" s="118" t="s">
        <v>357</v>
      </c>
      <c r="B13" s="46" t="s">
        <v>358</v>
      </c>
      <c r="C13" s="46" t="s">
        <v>359</v>
      </c>
      <c r="D13" s="5" t="s">
        <v>360</v>
      </c>
      <c r="E13" s="119" t="s">
        <v>330</v>
      </c>
    </row>
    <row r="15" customFormat="false" ht="63.75" hidden="false" customHeight="true" outlineLevel="0" collapsed="false">
      <c r="A15" s="85" t="s">
        <v>139</v>
      </c>
      <c r="B15" s="85"/>
      <c r="C15" s="85"/>
      <c r="D15" s="85"/>
      <c r="E15" s="85"/>
    </row>
    <row r="16" customFormat="false" ht="15" hidden="false" customHeight="false" outlineLevel="0" collapsed="false">
      <c r="A16" s="85"/>
      <c r="B16" s="85"/>
      <c r="C16" s="85"/>
      <c r="D16" s="85"/>
      <c r="E16" s="85"/>
    </row>
    <row r="17" customFormat="false" ht="15" hidden="false" customHeight="false" outlineLevel="0" collapsed="false">
      <c r="A17" s="85"/>
      <c r="B17" s="85"/>
      <c r="C17" s="85"/>
      <c r="D17" s="85"/>
      <c r="E17" s="85"/>
    </row>
    <row r="18" customFormat="false" ht="15" hidden="false" customHeight="false" outlineLevel="0" collapsed="false">
      <c r="A18" s="85"/>
      <c r="B18" s="85"/>
      <c r="C18" s="85"/>
      <c r="D18" s="85"/>
      <c r="E18" s="85"/>
    </row>
  </sheetData>
  <mergeCells count="3">
    <mergeCell ref="A1:E1"/>
    <mergeCell ref="A2:E2"/>
    <mergeCell ref="A15:E18"/>
  </mergeCells>
  <hyperlinks>
    <hyperlink ref="E5" r:id="rId1" display="Open ↗"/>
    <hyperlink ref="E6" r:id="rId2" display="Open ↗"/>
    <hyperlink ref="E7" r:id="rId3" display="Open ↗"/>
    <hyperlink ref="E8" r:id="rId4" display="Open ↗"/>
    <hyperlink ref="E9" r:id="rId5" display="Open ↗"/>
    <hyperlink ref="E10" r:id="rId6" display="Open ↗"/>
    <hyperlink ref="E11" r:id="rId7" display="Open ↗"/>
    <hyperlink ref="E12" r:id="rId8" display="Open ↗"/>
    <hyperlink ref="E13" r:id="rId9" display="Open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2026-06-25T09:15:30Z</dcterms:created>
  <dc:creator>openpyxl</dc:creator>
  <dc:description/>
  <dc:language>en-US</dc:language>
  <cp:lastModifiedBy/>
  <dcterms:modified xsi:type="dcterms:W3CDTF">2026-06-25T09:15:30Z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