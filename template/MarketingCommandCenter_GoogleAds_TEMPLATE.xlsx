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comments7.xml" ContentType="application/vnd.openxmlformats-officedocument.spreadsheetml.comments+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0.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12.xml.rels" ContentType="application/vnd.openxmlformats-package.relationships+xml"/>
  <Override PartName="/xl/worksheets/_rels/sheet5.xml.rels" ContentType="application/vnd.openxmlformats-package.relationships+xml"/>
  <Override PartName="/xl/worksheets/_rels/sheet3.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vmlDrawing3.vml" ContentType="application/vnd.openxmlformats-officedocument.vmlDrawing"/>
  <Override PartName="/xl/drawings/vmlDrawing1.vml" ContentType="application/vnd.openxmlformats-officedocument.vmlDrawing"/>
  <Override PartName="/xl/drawings/drawing2.xml" ContentType="application/vnd.openxmlformats-officedocument.drawing+xml"/>
  <Override PartName="/xl/drawings/vmlDrawing4.vml" ContentType="application/vnd.openxmlformats-officedocument.vmlDrawing"/>
  <Override PartName="/xl/drawings/vmlDrawing2.vml" ContentType="application/vnd.openxmlformats-officedocument.vmlDrawing"/>
  <Override PartName="/xl/drawings/drawing3.xml" ContentType="application/vnd.openxmlformats-officedocument.drawing+xml"/>
  <Override PartName="/xl/drawings/vmlDrawing5.vml" ContentType="application/vnd.openxmlformats-officedocument.vmlDrawing"/>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8.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Guide" sheetId="1" state="visible" r:id="rId3"/>
    <sheet name="Executive Summary" sheetId="2" state="visible" r:id="rId4"/>
    <sheet name="Account Summary" sheetId="3" state="visible" r:id="rId5"/>
    <sheet name="Month-on-Month" sheetId="4" state="visible" r:id="rId6"/>
    <sheet name="By Campaign" sheetId="5" state="visible" r:id="rId7"/>
    <sheet name="By Campaign Type" sheetId="6" state="visible" r:id="rId8"/>
    <sheet name="By Device" sheetId="7" state="visible" r:id="rId9"/>
    <sheet name="Search Terms" sheetId="8" state="visible" r:id="rId10"/>
    <sheet name="Budget Pacing" sheetId="9" state="visible" r:id="rId11"/>
    <sheet name="Flags &amp; Fixes" sheetId="10" state="visible" r:id="rId12"/>
    <sheet name="Definitions" sheetId="11" state="visible" r:id="rId13"/>
    <sheet name="Sources" sheetId="12" state="visible" r:id="rId14"/>
  </sheets>
  <definedNames>
    <definedName function="false" hidden="true" localSheetId="2" name="_xlnm._FilterDatabase" vbProcedure="false">'Account Summary'!$A$4:$L$28</definedName>
    <definedName function="false" hidden="true" localSheetId="4" name="_xlnm._FilterDatabase" vbProcedure="false">'By Campaign'!$A$4:$O$9</definedName>
    <definedName function="false" hidden="true" localSheetId="5" name="_xlnm._FilterDatabase" vbProcedure="false">'By Campaign Type'!$A$4:$K$9</definedName>
    <definedName function="false" hidden="true" localSheetId="6" name="_xlnm._FilterDatabase" vbProcedure="false">'By Device'!$A$4:$I$7</definedName>
    <definedName function="false" hidden="true" localSheetId="9" name="_xlnm._FilterDatabase" vbProcedure="false">'Flags &amp; Fixes'!$A$4:$E$10</definedName>
    <definedName function="false" hidden="true" localSheetId="7" name="_xlnm._FilterDatabase" vbProcedure="false">'Search Terms'!$A$4:$I$8</definedName>
  </definedName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Unknown Author</author>
  </authors>
  <commentList>
    <comment ref="B4" authorId="0">
      <text>
        <r>
          <rPr>
            <sz val="10"/>
            <rFont val="Arial"/>
            <family val="2"/>
          </rPr>
          <t xml:space="preserve">Total amount spent on Google Ads in the period.</t>
        </r>
      </text>
    </comment>
    <comment ref="C4" authorId="0">
      <text>
        <r>
          <rPr>
            <sz val="10"/>
            <rFont val="Arial"/>
            <family val="2"/>
          </rPr>
          <t xml:space="preserve">How often your ads were shown.</t>
        </r>
      </text>
    </comment>
    <comment ref="D4" authorId="0">
      <text>
        <r>
          <rPr>
            <sz val="10"/>
            <rFont val="Arial"/>
            <family val="2"/>
          </rPr>
          <t xml:space="preserve">Number of clicks your ads received.</t>
        </r>
      </text>
    </comment>
    <comment ref="E4" authorId="0">
      <text>
        <r>
          <rPr>
            <sz val="10"/>
            <rFont val="Arial"/>
            <family val="2"/>
          </rPr>
          <t xml:space="preserve">Click-through rate. Clicks divided by impressions.</t>
        </r>
      </text>
    </comment>
    <comment ref="F4" authorId="0">
      <text>
        <r>
          <rPr>
            <sz val="10"/>
            <rFont val="Arial"/>
            <family val="2"/>
          </rPr>
          <t xml:space="preserve">Average cost per click. Spend divided by clicks.</t>
        </r>
      </text>
    </comment>
    <comment ref="G4" authorId="0">
      <text>
        <r>
          <rPr>
            <sz val="10"/>
            <rFont val="Arial"/>
            <family val="2"/>
          </rPr>
          <t xml:space="preserve">Conversions reported by Google Ads. Performance Max can count low-value actions, so sanity-check against your CRM.</t>
        </r>
      </text>
    </comment>
    <comment ref="H4" authorId="0">
      <text>
        <r>
          <rPr>
            <sz val="10"/>
            <rFont val="Arial"/>
            <family val="2"/>
          </rPr>
          <t xml:space="preserve">Total value of conversions, used for ROAS.</t>
        </r>
      </text>
    </comment>
    <comment ref="I4" authorId="0">
      <text>
        <r>
          <rPr>
            <sz val="10"/>
            <rFont val="Arial"/>
            <family val="2"/>
          </rPr>
          <t xml:space="preserve">Spend divided by conversions. Your cost per acquisition.</t>
        </r>
      </text>
    </comment>
    <comment ref="J4" authorId="0">
      <text>
        <r>
          <rPr>
            <sz val="10"/>
            <rFont val="Arial"/>
            <family val="2"/>
          </rPr>
          <t xml:space="preserve">Share of clicks that converted. Conversions divided by clicks.</t>
        </r>
      </text>
    </comment>
    <comment ref="K4" authorId="0">
      <text>
        <r>
          <rPr>
            <sz val="10"/>
            <rFont val="Arial"/>
            <family val="2"/>
          </rPr>
          <t xml:space="preserve">Return on ad spend. Conversion value divided by spend.</t>
        </r>
      </text>
    </comment>
    <comment ref="L4" authorId="0">
      <text>
        <r>
          <rPr>
            <sz val="10"/>
            <rFont val="Arial"/>
            <family val="2"/>
          </rPr>
          <t xml:space="preserve">Impressions you got divided by impressions you were eligible for on Search. Low share means budget or rank is holding you back.</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C4" authorId="0">
      <text>
        <r>
          <rPr>
            <sz val="10"/>
            <rFont val="Arial"/>
            <family val="2"/>
          </rPr>
          <t xml:space="preserve">How the campaign serves: Search, Performance Max, Display, Video, Shopping, Demand Gen.</t>
        </r>
      </text>
    </comment>
    <comment ref="D4" authorId="0">
      <text>
        <r>
          <rPr>
            <sz val="10"/>
            <rFont val="Arial"/>
            <family val="2"/>
          </rPr>
          <t xml:space="preserve">How often your ads were shown.</t>
        </r>
      </text>
    </comment>
    <comment ref="E4" authorId="0">
      <text>
        <r>
          <rPr>
            <sz val="10"/>
            <rFont val="Arial"/>
            <family val="2"/>
          </rPr>
          <t xml:space="preserve">Number of clicks your ads received.</t>
        </r>
      </text>
    </comment>
    <comment ref="F4" authorId="0">
      <text>
        <r>
          <rPr>
            <sz val="10"/>
            <rFont val="Arial"/>
            <family val="2"/>
          </rPr>
          <t xml:space="preserve">Click-through rate. Clicks divided by impressions.</t>
        </r>
      </text>
    </comment>
    <comment ref="G4" authorId="0">
      <text>
        <r>
          <rPr>
            <sz val="10"/>
            <rFont val="Arial"/>
            <family val="2"/>
          </rPr>
          <t xml:space="preserve">Average cost per click. Spend divided by clicks.</t>
        </r>
      </text>
    </comment>
    <comment ref="H4" authorId="0">
      <text>
        <r>
          <rPr>
            <sz val="10"/>
            <rFont val="Arial"/>
            <family val="2"/>
          </rPr>
          <t xml:space="preserve">Total amount spent on Google Ads in the period.</t>
        </r>
      </text>
    </comment>
    <comment ref="I4" authorId="0">
      <text>
        <r>
          <rPr>
            <sz val="10"/>
            <rFont val="Arial"/>
            <family val="2"/>
          </rPr>
          <t xml:space="preserve">Conversions reported by Google Ads. Performance Max can count low-value actions, so sanity-check against your CRM.</t>
        </r>
      </text>
    </comment>
    <comment ref="J4" authorId="0">
      <text>
        <r>
          <rPr>
            <sz val="10"/>
            <rFont val="Arial"/>
            <family val="2"/>
          </rPr>
          <t xml:space="preserve">Total value of conversions, used for ROAS.</t>
        </r>
      </text>
    </comment>
    <comment ref="K4" authorId="0">
      <text>
        <r>
          <rPr>
            <sz val="10"/>
            <rFont val="Arial"/>
            <family val="2"/>
          </rPr>
          <t xml:space="preserve">Spend divided by conversions. Your cost per acquisition.</t>
        </r>
      </text>
    </comment>
    <comment ref="L4" authorId="0">
      <text>
        <r>
          <rPr>
            <sz val="10"/>
            <rFont val="Arial"/>
            <family val="2"/>
          </rPr>
          <t xml:space="preserve">Share of clicks that converted. Conversions divided by clicks.</t>
        </r>
      </text>
    </comment>
    <comment ref="M4" authorId="0">
      <text>
        <r>
          <rPr>
            <sz val="10"/>
            <rFont val="Arial"/>
            <family val="2"/>
          </rPr>
          <t xml:space="preserve">Return on ad spend. Conversion value divided by spend.</t>
        </r>
      </text>
    </comment>
    <comment ref="N4" authorId="0">
      <text>
        <r>
          <rPr>
            <sz val="10"/>
            <rFont val="Arial"/>
            <family val="2"/>
          </rPr>
          <t xml:space="preserve">Impressions you got divided by impressions you were eligible for on Search. Low share means budget or rank is holding you back.</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A4" authorId="0">
      <text>
        <r>
          <rPr>
            <sz val="10"/>
            <rFont val="Arial"/>
            <family val="2"/>
          </rPr>
          <t xml:space="preserve">How the campaign serves: Search, Performance Max, Display, Video, Shopping, Demand Gen.</t>
        </r>
      </text>
    </comment>
    <comment ref="B4" authorId="0">
      <text>
        <r>
          <rPr>
            <sz val="10"/>
            <rFont val="Arial"/>
            <family val="2"/>
          </rPr>
          <t xml:space="preserve">How often your ads were shown.</t>
        </r>
      </text>
    </comment>
    <comment ref="C4" authorId="0">
      <text>
        <r>
          <rPr>
            <sz val="10"/>
            <rFont val="Arial"/>
            <family val="2"/>
          </rPr>
          <t xml:space="preserve">Number of clicks your ads received.</t>
        </r>
      </text>
    </comment>
    <comment ref="D4" authorId="0">
      <text>
        <r>
          <rPr>
            <sz val="10"/>
            <rFont val="Arial"/>
            <family val="2"/>
          </rPr>
          <t xml:space="preserve">Click-through rate. Clicks divided by impressions.</t>
        </r>
      </text>
    </comment>
    <comment ref="E4" authorId="0">
      <text>
        <r>
          <rPr>
            <sz val="10"/>
            <rFont val="Arial"/>
            <family val="2"/>
          </rPr>
          <t xml:space="preserve">Average cost per click. Spend divided by clicks.</t>
        </r>
      </text>
    </comment>
    <comment ref="F4" authorId="0">
      <text>
        <r>
          <rPr>
            <sz val="10"/>
            <rFont val="Arial"/>
            <family val="2"/>
          </rPr>
          <t xml:space="preserve">Total amount spent on Google Ads in the period.</t>
        </r>
      </text>
    </comment>
    <comment ref="G4" authorId="0">
      <text>
        <r>
          <rPr>
            <sz val="10"/>
            <rFont val="Arial"/>
            <family val="2"/>
          </rPr>
          <t xml:space="preserve">Conversions reported by Google Ads. Performance Max can count low-value actions, so sanity-check against your CRM.</t>
        </r>
      </text>
    </comment>
    <comment ref="H4" authorId="0">
      <text>
        <r>
          <rPr>
            <sz val="10"/>
            <rFont val="Arial"/>
            <family val="2"/>
          </rPr>
          <t xml:space="preserve">Total value of conversions, used for ROAS.</t>
        </r>
      </text>
    </comment>
    <comment ref="I4" authorId="0">
      <text>
        <r>
          <rPr>
            <sz val="10"/>
            <rFont val="Arial"/>
            <family val="2"/>
          </rPr>
          <t xml:space="preserve">Spend divided by conversions. Your cost per acquisition.</t>
        </r>
      </text>
    </comment>
    <comment ref="J4" authorId="0">
      <text>
        <r>
          <rPr>
            <sz val="10"/>
            <rFont val="Arial"/>
            <family val="2"/>
          </rPr>
          <t xml:space="preserve">Return on ad spend. Conversion value divided by spend.</t>
        </r>
      </text>
    </comment>
  </commentList>
</comments>
</file>

<file path=xl/comments7.xml><?xml version="1.0" encoding="utf-8"?>
<comments xmlns="http://schemas.openxmlformats.org/spreadsheetml/2006/main" xmlns:xdr="http://schemas.openxmlformats.org/drawingml/2006/spreadsheetDrawing">
  <authors>
    <author>Unknown Author</author>
  </authors>
  <commentList>
    <comment ref="A4" authorId="0">
      <text>
        <r>
          <rPr>
            <sz val="10"/>
            <rFont val="Arial"/>
            <family val="2"/>
          </rPr>
          <t xml:space="preserve">Mobile, desktop, or tablet.</t>
        </r>
      </text>
    </comment>
    <comment ref="B4" authorId="0">
      <text>
        <r>
          <rPr>
            <sz val="10"/>
            <rFont val="Arial"/>
            <family val="2"/>
          </rPr>
          <t xml:space="preserve">How often your ads were shown.</t>
        </r>
      </text>
    </comment>
    <comment ref="C4" authorId="0">
      <text>
        <r>
          <rPr>
            <sz val="10"/>
            <rFont val="Arial"/>
            <family val="2"/>
          </rPr>
          <t xml:space="preserve">Number of clicks your ads received.</t>
        </r>
      </text>
    </comment>
    <comment ref="D4" authorId="0">
      <text>
        <r>
          <rPr>
            <sz val="10"/>
            <rFont val="Arial"/>
            <family val="2"/>
          </rPr>
          <t xml:space="preserve">Click-through rate. Clicks divided by impressions.</t>
        </r>
      </text>
    </comment>
    <comment ref="E4" authorId="0">
      <text>
        <r>
          <rPr>
            <sz val="10"/>
            <rFont val="Arial"/>
            <family val="2"/>
          </rPr>
          <t xml:space="preserve">Average cost per click. Spend divided by clicks.</t>
        </r>
      </text>
    </comment>
    <comment ref="F4" authorId="0">
      <text>
        <r>
          <rPr>
            <sz val="10"/>
            <rFont val="Arial"/>
            <family val="2"/>
          </rPr>
          <t xml:space="preserve">Total amount spent on Google Ads in the period.</t>
        </r>
      </text>
    </comment>
    <comment ref="G4" authorId="0">
      <text>
        <r>
          <rPr>
            <sz val="10"/>
            <rFont val="Arial"/>
            <family val="2"/>
          </rPr>
          <t xml:space="preserve">Conversions reported by Google Ads. Performance Max can count low-value actions, so sanity-check against your CRM.</t>
        </r>
      </text>
    </comment>
    <comment ref="H4" authorId="0">
      <text>
        <r>
          <rPr>
            <sz val="10"/>
            <rFont val="Arial"/>
            <family val="2"/>
          </rPr>
          <t xml:space="preserve">Spend divided by conversions. Your cost per acquisition.</t>
        </r>
      </text>
    </comment>
    <comment ref="I4" authorId="0">
      <text>
        <r>
          <rPr>
            <sz val="10"/>
            <rFont val="Arial"/>
            <family val="2"/>
          </rPr>
          <t xml:space="preserve">Share of clicks that converted. Conversions divided by clicks.</t>
        </r>
      </text>
    </comment>
  </commentList>
</comments>
</file>

<file path=xl/comments8.xml><?xml version="1.0" encoding="utf-8"?>
<comments xmlns="http://schemas.openxmlformats.org/spreadsheetml/2006/main" xmlns:xdr="http://schemas.openxmlformats.org/drawingml/2006/spreadsheetDrawing">
  <authors>
    <author>Unknown Author</author>
  </authors>
  <commentList>
    <comment ref="C4" authorId="0">
      <text>
        <r>
          <rPr>
            <sz val="10"/>
            <rFont val="Arial"/>
            <family val="2"/>
          </rPr>
          <t xml:space="preserve">How often your ads were shown.</t>
        </r>
      </text>
    </comment>
    <comment ref="D4" authorId="0">
      <text>
        <r>
          <rPr>
            <sz val="10"/>
            <rFont val="Arial"/>
            <family val="2"/>
          </rPr>
          <t xml:space="preserve">Number of clicks your ads received.</t>
        </r>
      </text>
    </comment>
    <comment ref="E4" authorId="0">
      <text>
        <r>
          <rPr>
            <sz val="10"/>
            <rFont val="Arial"/>
            <family val="2"/>
          </rPr>
          <t xml:space="preserve">Click-through rate. Clicks divided by impressions.</t>
        </r>
      </text>
    </comment>
    <comment ref="F4" authorId="0">
      <text>
        <r>
          <rPr>
            <sz val="10"/>
            <rFont val="Arial"/>
            <family val="2"/>
          </rPr>
          <t xml:space="preserve">Total amount spent on Google Ads in the period.</t>
        </r>
      </text>
    </comment>
    <comment ref="G4" authorId="0">
      <text>
        <r>
          <rPr>
            <sz val="10"/>
            <rFont val="Arial"/>
            <family val="2"/>
          </rPr>
          <t xml:space="preserve">Conversions reported by Google Ads. Performance Max can count low-value actions, so sanity-check against your CRM.</t>
        </r>
      </text>
    </comment>
    <comment ref="H4" authorId="0">
      <text>
        <r>
          <rPr>
            <sz val="10"/>
            <rFont val="Arial"/>
            <family val="2"/>
          </rPr>
          <t xml:space="preserve">Spend divided by conversions. Your cost per acquisition.</t>
        </r>
      </text>
    </comment>
  </commentList>
</comments>
</file>

<file path=xl/sharedStrings.xml><?xml version="1.0" encoding="utf-8"?>
<sst xmlns="http://schemas.openxmlformats.org/spreadsheetml/2006/main" count="311" uniqueCount="193">
  <si>
    <t xml:space="preserve">Google Ads Reporting Template</t>
  </si>
  <si>
    <t xml:space="preserve">Dedicated Google Ads report. Green-themed, formula-driven, plug-and-play. Fill one tab a month, or let Claude pull it for you.</t>
  </si>
  <si>
    <t xml:space="preserve">How this works</t>
  </si>
  <si>
    <t xml:space="preserve">Account Summary is your single source of truth. Fill one row per month. The Executive Summary and Month-on-Month tabs read from it and recompute on their own.</t>
  </si>
  <si>
    <t xml:space="preserve">Blue cells are where you type. Grey cells are formulas. Leave the formulas alone.</t>
  </si>
  <si>
    <t xml:space="preserve">Percentages are stored as values. 4.2% is held as 0.042. ROAS shows as a multiple, like 3.5x.</t>
  </si>
  <si>
    <t xml:space="preserve">Reading order</t>
  </si>
  <si>
    <t xml:space="preserve">Account Summary, then By Campaign, By Campaign Type, By Device, Search Terms, and Budget Pacing. Flags and Fixes is your action list. Definitions explains every metric.</t>
  </si>
  <si>
    <t xml:space="preserve">Fill it with Claude (fastest)</t>
  </si>
  <si>
    <t xml:space="preserve">Turn on the Windsor.ai connector in Claude, then paste these prompts one at a time.</t>
  </si>
  <si>
    <t xml:space="preserve">Account Summary:  "From Google Ads &lt;ACCOUNT-ID&gt;, give me spend, impressions, clicks, conversions, conversion value, and search impression share by month for the last 12 months."</t>
  </si>
  <si>
    <t xml:space="preserve">By Campaign:  "From Google Ads &lt;ACCOUNT-ID&gt;, one row per campaign per month for the last 6 months: campaign type, impressions, clicks, spend, conversions, conversion value, search impression share."</t>
  </si>
  <si>
    <t xml:space="preserve">By Device:  "From Google Ads &lt;ACCOUNT-ID&gt;, performance by device for the latest month: impressions, clicks, spend, conversions, conversion value."</t>
  </si>
  <si>
    <t xml:space="preserve">Search Terms:  "From Google Ads &lt;ACCOUNT-ID&gt;, the search terms report for the last 30 days: term, matched campaign, impressions, clicks, spend, conversions."</t>
  </si>
  <si>
    <t xml:space="preserve">Then:  "Write this into my Google Ads workbook, filling the blue input cells. Keep every formula intact."</t>
  </si>
  <si>
    <t xml:space="preserve">Monthly refresh</t>
  </si>
  <si>
    <t xml:space="preserve">When a month closes, add one row to Account Summary and refresh the deep-dive tabs you care about. That is the whole job.</t>
  </si>
  <si>
    <t xml:space="preserve">Executive Summary</t>
  </si>
  <si>
    <t xml:space="preserve">Pick a month. The cards show that month versus the one before it. Everything reads from Account Summary.</t>
  </si>
  <si>
    <t xml:space="preserve">Pick a month:</t>
  </si>
  <si>
    <t xml:space="preserve">Month 3</t>
  </si>
  <si>
    <t xml:space="preserve">Metric</t>
  </si>
  <si>
    <t xml:space="preserve">Selected month</t>
  </si>
  <si>
    <t xml:space="preserve">Prior month</t>
  </si>
  <si>
    <t xml:space="preserve">Change</t>
  </si>
  <si>
    <t xml:space="preserve">Spend</t>
  </si>
  <si>
    <t xml:space="preserve">Clicks</t>
  </si>
  <si>
    <t xml:space="preserve">CTR</t>
  </si>
  <si>
    <t xml:space="preserve">Avg CPC</t>
  </si>
  <si>
    <t xml:space="preserve">Conversions</t>
  </si>
  <si>
    <t xml:space="preserve">Cost / Conv</t>
  </si>
  <si>
    <t xml:space="preserve">Conv. Rate</t>
  </si>
  <si>
    <t xml:space="preserve">ROAS</t>
  </si>
  <si>
    <t xml:space="preserve">Search Impr. Share</t>
  </si>
  <si>
    <t xml:space="preserve">Read the change column with intent. Spend up is only good if conversions keep pace and cost per conversion holds. ROAS down with spend up means you are buying weaker traffic. Rate metrics (CTR, conversion rate, impression share) show the change in percentage points.</t>
  </si>
  <si>
    <t xml:space="preserve">Account Summary</t>
  </si>
  <si>
    <t xml:space="preserve">One row per month. Blue cells are inputs. CTR, CPC, cost per conversion, conversion rate, and ROAS are formulas. This tab feeds the Executive Summary and Month-on-Month.</t>
  </si>
  <si>
    <t xml:space="preserve">Month</t>
  </si>
  <si>
    <t xml:space="preserve">Impressions</t>
  </si>
  <si>
    <t xml:space="preserve">Conv. Value</t>
  </si>
  <si>
    <t xml:space="preserve">Month 1</t>
  </si>
  <si>
    <t xml:space="preserve">Month 2</t>
  </si>
  <si>
    <t xml:space="preserve">Month 4</t>
  </si>
  <si>
    <t xml:space="preserve">Month 5</t>
  </si>
  <si>
    <t xml:space="preserve">Month 6</t>
  </si>
  <si>
    <t xml:space="preserve">Month 7</t>
  </si>
  <si>
    <t xml:space="preserve">Month 8</t>
  </si>
  <si>
    <t xml:space="preserve">Month 9</t>
  </si>
  <si>
    <t xml:space="preserve">Month 10</t>
  </si>
  <si>
    <t xml:space="preserve">Month 11</t>
  </si>
  <si>
    <t xml:space="preserve">Month 12</t>
  </si>
  <si>
    <t xml:space="preserve">Month 13</t>
  </si>
  <si>
    <t xml:space="preserve">Month 14</t>
  </si>
  <si>
    <t xml:space="preserve">Month 15</t>
  </si>
  <si>
    <t xml:space="preserve">Month 16</t>
  </si>
  <si>
    <t xml:space="preserve">Month 17</t>
  </si>
  <si>
    <t xml:space="preserve">Month 18</t>
  </si>
  <si>
    <t xml:space="preserve">Month 19</t>
  </si>
  <si>
    <t xml:space="preserve">Month 20</t>
  </si>
  <si>
    <t xml:space="preserve">Month 21</t>
  </si>
  <si>
    <t xml:space="preserve">Month 22</t>
  </si>
  <si>
    <t xml:space="preserve">Month 23</t>
  </si>
  <si>
    <t xml:space="preserve">Month 24</t>
  </si>
  <si>
    <t xml:space="preserve">Fill the blue cells each month and the rest of the workbook updates. Watch three things together: cost per conversion (are you paying more for the same result), ROAS (is the spend paying back), and search impression share (is there room to grow before you are capped).</t>
  </si>
  <si>
    <t xml:space="preserve">Month-on-Month</t>
  </si>
  <si>
    <t xml:space="preserve">Each metric shows the month's actual value and the change versus the prior month. Volume metrics change in %, CTR changes in percentage points. Blank rows are months you have not filled yet.</t>
  </si>
  <si>
    <t xml:space="preserve">This month</t>
  </si>
  <si>
    <t xml:space="preserve">vs prev</t>
  </si>
  <si>
    <t xml:space="preserve">vs prev (pp)</t>
  </si>
  <si>
    <t xml:space="preserve">By Campaign</t>
  </si>
  <si>
    <t xml:space="preserve">One row per campaign per month. Blue cells are inputs. CTR, CPC, cost per conversion, conversion rate, and ROAS are formulas. The Flag column warns when spend earns no conversions.</t>
  </si>
  <si>
    <t xml:space="preserve">Campaign</t>
  </si>
  <si>
    <t xml:space="preserve">Campaign Type</t>
  </si>
  <si>
    <t xml:space="preserve">Flag</t>
  </si>
  <si>
    <t xml:space="preserve">Search - Brand</t>
  </si>
  <si>
    <t xml:space="preserve">Search</t>
  </si>
  <si>
    <t xml:space="preserve">Search - Non-brand</t>
  </si>
  <si>
    <t xml:space="preserve">Performance Max - All</t>
  </si>
  <si>
    <t xml:space="preserve">Performance Max</t>
  </si>
  <si>
    <t xml:space="preserve">Display - Remarketing</t>
  </si>
  <si>
    <t xml:space="preserve">Display</t>
  </si>
  <si>
    <t xml:space="preserve">Video - Awareness</t>
  </si>
  <si>
    <t xml:space="preserve">Video</t>
  </si>
  <si>
    <t xml:space="preserve">Sort by Spend to see where the money goes, then by Cost per Conversion to see what it buys. A campaign with real spend and zero conversions is flagged in red: pause it, fix tracking, or rework the offer before it burns more budget.</t>
  </si>
  <si>
    <t xml:space="preserve">By Campaign Type</t>
  </si>
  <si>
    <t xml:space="preserve">Spend and return grouped by how the campaign serves. Blue cells are inputs. Rates and share of spend are formulas.</t>
  </si>
  <si>
    <t xml:space="preserve">Share of Spend</t>
  </si>
  <si>
    <t xml:space="preserve">Shopping</t>
  </si>
  <si>
    <t xml:space="preserve">This is where you decide the budget mix. Performance Max and Search usually carry the conversions; Display and Video build reach but convert thin, so judge them on assisted value, not last-click ROAS.</t>
  </si>
  <si>
    <t xml:space="preserve">By Device</t>
  </si>
  <si>
    <t xml:space="preserve">Performance split by device for the latest month. Blue cells are inputs. Rates are formulas.</t>
  </si>
  <si>
    <t xml:space="preserve">Device</t>
  </si>
  <si>
    <t xml:space="preserve">Mobile</t>
  </si>
  <si>
    <t xml:space="preserve">Desktop</t>
  </si>
  <si>
    <t xml:space="preserve">Tablet</t>
  </si>
  <si>
    <t xml:space="preserve">If mobile takes most clicks but converts worse and costs more per conversion, your mobile landing pages are the lever. Check load speed and form length before you blame the traffic.</t>
  </si>
  <si>
    <t xml:space="preserve">Search Terms</t>
  </si>
  <si>
    <t xml:space="preserve">What people actually typed. Pull the search terms report and paste it here. Use the Action column to decide: add as keyword, add a negative, or keep watching.</t>
  </si>
  <si>
    <t xml:space="preserve">Search Term</t>
  </si>
  <si>
    <t xml:space="preserve">Matched Campaign</t>
  </si>
  <si>
    <t xml:space="preserve">Action</t>
  </si>
  <si>
    <t xml:space="preserve">buy product a online</t>
  </si>
  <si>
    <t xml:space="preserve">Add as keyword</t>
  </si>
  <si>
    <t xml:space="preserve">your brand reviews</t>
  </si>
  <si>
    <t xml:space="preserve">Keep</t>
  </si>
  <si>
    <t xml:space="preserve">free product a download</t>
  </si>
  <si>
    <t xml:space="preserve">Add negative</t>
  </si>
  <si>
    <t xml:space="preserve">product a vs competitor</t>
  </si>
  <si>
    <t xml:space="preserve">Search terms are where waste hides and where new keywords are born. Terms with clicks and zero conversions are negative-keyword candidates. Terms that convert and are not yet keywords are your next exact-match adds.</t>
  </si>
  <si>
    <t xml:space="preserve">Budget Pacing</t>
  </si>
  <si>
    <t xml:space="preserve">Are you on track to spend your budget this month. Fill the blue cells. Projection and pace are formulas.</t>
  </si>
  <si>
    <t xml:space="preserve">Campaign / Account</t>
  </si>
  <si>
    <t xml:space="preserve">Monthly Budget</t>
  </si>
  <si>
    <t xml:space="preserve">Days in Month</t>
  </si>
  <si>
    <t xml:space="preserve">Days Elapsed</t>
  </si>
  <si>
    <t xml:space="preserve">Spend to Date</t>
  </si>
  <si>
    <t xml:space="preserve">Expected to Date</t>
  </si>
  <si>
    <t xml:space="preserve">Projected Month-End</t>
  </si>
  <si>
    <t xml:space="preserve">Pace vs Budget</t>
  </si>
  <si>
    <t xml:space="preserve">Status</t>
  </si>
  <si>
    <t xml:space="preserve">Account total</t>
  </si>
  <si>
    <t xml:space="preserve">Projected month-end is today's daily pace carried to the end of the month. Over means you will overspend the budget; Under means you are leaving reach on the table while impression share is below 100%. Adjust daily budgets, not panic.</t>
  </si>
  <si>
    <t xml:space="preserve">Flags &amp; Fixes</t>
  </si>
  <si>
    <t xml:space="preserve">The Google Ads issues worth checking every month, what each one means, and the fix. Replace the sample notes with what you find.</t>
  </si>
  <si>
    <t xml:space="preserve">Priority</t>
  </si>
  <si>
    <t xml:space="preserve">What it means</t>
  </si>
  <si>
    <t xml:space="preserve">Where to check</t>
  </si>
  <si>
    <t xml:space="preserve">Fix</t>
  </si>
  <si>
    <t xml:space="preserve">High</t>
  </si>
  <si>
    <t xml:space="preserve">Spend with no conversions</t>
  </si>
  <si>
    <t xml:space="preserve">Budget is going out with nothing coming back.</t>
  </si>
  <si>
    <t xml:space="preserve">By Campaign (red flag)</t>
  </si>
  <si>
    <t xml:space="preserve">Pause, fix conversion tracking, or rework the offer and landing page.</t>
  </si>
  <si>
    <t xml:space="preserve">Conversion tracking gaps</t>
  </si>
  <si>
    <t xml:space="preserve">Conversions look low or zero across the account.</t>
  </si>
  <si>
    <t xml:space="preserve">Account Summary, By Campaign</t>
  </si>
  <si>
    <t xml:space="preserve">Confirm the conversion tag fires and key actions are marked as conversions.</t>
  </si>
  <si>
    <t xml:space="preserve">Medium</t>
  </si>
  <si>
    <t xml:space="preserve">Low search impression share</t>
  </si>
  <si>
    <t xml:space="preserve">You are eligible for far more impressions than you get.</t>
  </si>
  <si>
    <t xml:space="preserve">Account Summary (Search Impr. Share)</t>
  </si>
  <si>
    <t xml:space="preserve">Raise budget on capped campaigns or improve Ad Rank with better ads and bids.</t>
  </si>
  <si>
    <t xml:space="preserve">Rising cost per conversion</t>
  </si>
  <si>
    <t xml:space="preserve">You are paying more for the same result over time.</t>
  </si>
  <si>
    <t xml:space="preserve">Tighten targeting, add negatives, test new creative, review bid strategy.</t>
  </si>
  <si>
    <t xml:space="preserve">Search term waste</t>
  </si>
  <si>
    <t xml:space="preserve">Clicks on irrelevant queries with no conversions.</t>
  </si>
  <si>
    <t xml:space="preserve">Add negative keywords. Promote converting terms to exact match.</t>
  </si>
  <si>
    <t xml:space="preserve">Low</t>
  </si>
  <si>
    <t xml:space="preserve">Device imbalance</t>
  </si>
  <si>
    <t xml:space="preserve">One device converts far worse but takes the spend.</t>
  </si>
  <si>
    <t xml:space="preserve">Adjust device performance with landing page fixes or bid adjustments.</t>
  </si>
  <si>
    <t xml:space="preserve">Definitions</t>
  </si>
  <si>
    <t xml:space="preserve">Plain-language meaning of every metric in this workbook.</t>
  </si>
  <si>
    <t xml:space="preserve">Good direction</t>
  </si>
  <si>
    <t xml:space="preserve">Total amount spent on Google Ads in the period.</t>
  </si>
  <si>
    <t xml:space="preserve">Match to budget</t>
  </si>
  <si>
    <t xml:space="preserve">How often your ads were shown.</t>
  </si>
  <si>
    <t xml:space="preserve">Higher with intent</t>
  </si>
  <si>
    <t xml:space="preserve">Number of clicks your ads received.</t>
  </si>
  <si>
    <t xml:space="preserve">Higher</t>
  </si>
  <si>
    <t xml:space="preserve">Click-through rate. Clicks divided by impressions.</t>
  </si>
  <si>
    <t xml:space="preserve">Average cost per click. Spend divided by clicks.</t>
  </si>
  <si>
    <t xml:space="preserve">Lower</t>
  </si>
  <si>
    <t xml:space="preserve">Conversion actions Google Ads counted. Sanity-check Performance Max against your CRM.</t>
  </si>
  <si>
    <t xml:space="preserve">Total value of those conversions, used for ROAS.</t>
  </si>
  <si>
    <t xml:space="preserve">Spend divided by conversions. Your cost per acquisition.</t>
  </si>
  <si>
    <t xml:space="preserve">Share of clicks that converted.</t>
  </si>
  <si>
    <t xml:space="preserve">Return on ad spend. Conversion value divided by spend.</t>
  </si>
  <si>
    <t xml:space="preserve">Impressions you got divided by impressions you were eligible for on Search.</t>
  </si>
  <si>
    <t xml:space="preserve">Higher, toward 100%</t>
  </si>
  <si>
    <t xml:space="preserve">How a campaign serves: Search, Performance Max, Display, Video, Shopping, Demand Gen.</t>
  </si>
  <si>
    <t xml:space="preserve">Match to goal</t>
  </si>
  <si>
    <t xml:space="preserve">Projected month-end spend divided by the monthly budget.</t>
  </si>
  <si>
    <t xml:space="preserve">Near 100%</t>
  </si>
  <si>
    <t xml:space="preserve">Sources</t>
  </si>
  <si>
    <t xml:space="preserve">Where the data comes from and how to pull it. Replace the placeholder account ID with yours.</t>
  </si>
  <si>
    <t xml:space="preserve">Source</t>
  </si>
  <si>
    <t xml:space="preserve">Account</t>
  </si>
  <si>
    <t xml:space="preserve">Open</t>
  </si>
  <si>
    <t xml:space="preserve">What you get</t>
  </si>
  <si>
    <t xml:space="preserve">Google Ads</t>
  </si>
  <si>
    <t xml:space="preserve">Account &lt;YOUR-GOOGLE-ADS-ID&gt;</t>
  </si>
  <si>
    <t xml:space="preserve">Spend, impressions, clicks, conversions, value, search impression share, by campaign, type, and device</t>
  </si>
  <si>
    <t xml:space="preserve">Google Ads search terms</t>
  </si>
  <si>
    <t xml:space="preserve">Same account</t>
  </si>
  <si>
    <t xml:space="preserve">The actual queries that triggered your ads</t>
  </si>
  <si>
    <t xml:space="preserve">Windsor.ai</t>
  </si>
  <si>
    <t xml:space="preserve">Connector that feeds Claude</t>
  </si>
  <si>
    <t xml:space="preserve">Pulls all of the above into this workbook through Claude</t>
  </si>
  <si>
    <t xml:space="preserve">Conversion tracking</t>
  </si>
  <si>
    <t xml:space="preserve">Google Ads / Google Tag</t>
  </si>
  <si>
    <t xml:space="preserve">Confirm your conversion actions fire before trusting any conversion number</t>
  </si>
</sst>
</file>

<file path=xl/styles.xml><?xml version="1.0" encoding="utf-8"?>
<styleSheet xmlns="http://schemas.openxmlformats.org/spreadsheetml/2006/main">
  <numFmts count="13">
    <numFmt numFmtId="164" formatCode="General"/>
    <numFmt numFmtId="165" formatCode="General"/>
    <numFmt numFmtId="166" formatCode="\$#,##0.00"/>
    <numFmt numFmtId="167" formatCode="\+0.0%;\-0.0%;0.0%"/>
    <numFmt numFmtId="168" formatCode="#,##0"/>
    <numFmt numFmtId="169" formatCode="0.00%"/>
    <numFmt numFmtId="170" formatCode="0.0\x"/>
    <numFmt numFmtId="171" formatCode="\$#,##0"/>
    <numFmt numFmtId="172" formatCode="0.0%"/>
    <numFmt numFmtId="173" formatCode="\+0.00%;\-0.00%;0.00%"/>
    <numFmt numFmtId="174" formatCode="@"/>
    <numFmt numFmtId="175" formatCode="0"/>
    <numFmt numFmtId="176" formatCode="0%"/>
  </numFmts>
  <fonts count="22">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9"/>
      <color rgb="FFFFFFFF"/>
      <name val="Arial"/>
      <family val="0"/>
      <charset val="1"/>
    </font>
    <font>
      <b val="true"/>
      <sz val="12"/>
      <color rgb="FF00793C"/>
      <name val="Arial"/>
      <family val="0"/>
      <charset val="1"/>
    </font>
    <font>
      <sz val="10"/>
      <color rgb="FF1F2937"/>
      <name val="Arial"/>
      <family val="0"/>
      <charset val="1"/>
    </font>
    <font>
      <b val="true"/>
      <sz val="10"/>
      <color rgb="FF1F2937"/>
      <name val="Arial"/>
      <family val="0"/>
      <charset val="1"/>
    </font>
    <font>
      <sz val="9"/>
      <color rgb="FFFFFFFF"/>
      <name val="Arial"/>
      <family val="0"/>
      <charset val="1"/>
    </font>
    <font>
      <sz val="10"/>
      <color rgb="FF0000FF"/>
      <name val="Arial"/>
      <family val="0"/>
      <charset val="1"/>
    </font>
    <font>
      <b val="true"/>
      <sz val="10"/>
      <color rgb="FFFFFFFF"/>
      <name val="Arial"/>
      <family val="0"/>
      <charset val="1"/>
    </font>
    <font>
      <sz val="10"/>
      <color rgb="FF6B7280"/>
      <name val="Arial"/>
      <family val="0"/>
      <charset val="1"/>
    </font>
    <font>
      <sz val="9"/>
      <color rgb="FF00793C"/>
      <name val="Arial"/>
      <family val="0"/>
      <charset val="1"/>
    </font>
    <font>
      <sz val="10"/>
      <name val="Arial"/>
      <family val="2"/>
    </font>
    <font>
      <b val="true"/>
      <sz val="9"/>
      <color rgb="FFFFFFFF"/>
      <name val="Arial"/>
      <family val="0"/>
      <charset val="1"/>
    </font>
    <font>
      <b val="true"/>
      <sz val="10"/>
      <color rgb="FF008000"/>
      <name val="Arial"/>
      <family val="0"/>
      <charset val="1"/>
    </font>
    <font>
      <sz val="9"/>
      <color rgb="FFB7791F"/>
      <name val="Arial"/>
      <family val="0"/>
      <charset val="1"/>
    </font>
    <font>
      <b val="true"/>
      <sz val="10"/>
      <color rgb="FFC00000"/>
      <name val="Arial"/>
      <family val="0"/>
      <charset val="1"/>
    </font>
    <font>
      <b val="true"/>
      <sz val="10"/>
      <color rgb="FFB7791F"/>
      <name val="Arial"/>
      <family val="0"/>
      <charset val="1"/>
    </font>
    <font>
      <b val="true"/>
      <sz val="10"/>
      <color rgb="FF00793C"/>
      <name val="Arial"/>
      <family val="0"/>
      <charset val="1"/>
    </font>
    <font>
      <u val="single"/>
      <sz val="10"/>
      <color rgb="FF008000"/>
      <name val="Arial"/>
      <family val="0"/>
      <charset val="1"/>
    </font>
  </fonts>
  <fills count="7">
    <fill>
      <patternFill patternType="none"/>
    </fill>
    <fill>
      <patternFill patternType="gray125"/>
    </fill>
    <fill>
      <patternFill patternType="solid">
        <fgColor rgb="FF00793C"/>
        <bgColor rgb="FF008000"/>
      </patternFill>
    </fill>
    <fill>
      <patternFill patternType="solid">
        <fgColor rgb="FF00A651"/>
        <bgColor rgb="FF008080"/>
      </patternFill>
    </fill>
    <fill>
      <patternFill patternType="solid">
        <fgColor rgb="FFEAF2FF"/>
        <bgColor rgb="FFE8F6EE"/>
      </patternFill>
    </fill>
    <fill>
      <patternFill patternType="solid">
        <fgColor rgb="FFE8F6EE"/>
        <bgColor rgb="FFEAF2FF"/>
      </patternFill>
    </fill>
    <fill>
      <patternFill patternType="solid">
        <fgColor rgb="FFFFF7CC"/>
        <bgColor rgb="FFFFF3D6"/>
      </patternFill>
    </fill>
  </fills>
  <borders count="3">
    <border diagonalUp="false" diagonalDown="false">
      <left/>
      <right/>
      <top/>
      <bottom/>
      <diagonal/>
    </border>
    <border diagonalUp="false" diagonalDown="false">
      <left style="thin">
        <color rgb="FFD7E5DC"/>
      </left>
      <right style="thin">
        <color rgb="FFD7E5DC"/>
      </right>
      <top style="thin">
        <color rgb="FFD7E5DC"/>
      </top>
      <bottom style="thin">
        <color rgb="FFD7E5DC"/>
      </bottom>
      <diagonal/>
    </border>
    <border diagonalUp="false" diagonalDown="false">
      <left style="thin">
        <color rgb="FF00A651"/>
      </left>
      <right style="thin">
        <color rgb="FF00A651"/>
      </right>
      <top style="thin">
        <color rgb="FF00A651"/>
      </top>
      <bottom style="thin">
        <color rgb="FF00A651"/>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3" borderId="0" xfId="0" applyFont="true" applyBorder="true" applyAlignment="true" applyProtection="false">
      <alignment horizontal="left" vertical="center" textRotation="0" wrapText="false" indent="1" shrinkToFit="false"/>
      <protection locked="true" hidden="false"/>
    </xf>
    <xf numFmtId="164" fontId="6" fillId="0" borderId="0" xfId="0" applyFont="true" applyBorder="true" applyAlignment="true" applyProtection="false">
      <alignment horizontal="left" vertical="top" textRotation="0" wrapText="true" indent="0" shrinkToFit="false"/>
      <protection locked="true" hidden="false"/>
    </xf>
    <xf numFmtId="164" fontId="7" fillId="0" borderId="0" xfId="0" applyFont="true" applyBorder="true" applyAlignment="true" applyProtection="false">
      <alignment horizontal="left" vertical="top" textRotation="0" wrapText="true" indent="0" shrinkToFit="false"/>
      <protection locked="true" hidden="false"/>
    </xf>
    <xf numFmtId="164" fontId="8" fillId="0" borderId="0" xfId="0" applyFont="true" applyBorder="true" applyAlignment="true" applyProtection="false">
      <alignment horizontal="left" vertical="top" textRotation="0" wrapText="tru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right" vertical="center" textRotation="0" wrapText="false" indent="0" shrinkToFit="false"/>
      <protection locked="true" hidden="false"/>
    </xf>
    <xf numFmtId="164" fontId="10" fillId="4" borderId="1" xfId="0" applyFont="true" applyBorder="true" applyAlignment="true" applyProtection="false">
      <alignment horizontal="center" vertical="center"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left" vertical="center" textRotation="0" wrapText="true" indent="0" shrinkToFit="false"/>
      <protection locked="true" hidden="false"/>
    </xf>
    <xf numFmtId="166" fontId="7" fillId="0" borderId="1" xfId="0" applyFont="true" applyBorder="true" applyAlignment="true" applyProtection="false">
      <alignment horizontal="right" vertical="center" textRotation="0" wrapText="false" indent="0" shrinkToFit="false"/>
      <protection locked="true" hidden="false"/>
    </xf>
    <xf numFmtId="167" fontId="12" fillId="0" borderId="1" xfId="0" applyFont="true" applyBorder="true" applyAlignment="true" applyProtection="false">
      <alignment horizontal="right" vertical="center" textRotation="0" wrapText="false" indent="0" shrinkToFit="false"/>
      <protection locked="true" hidden="false"/>
    </xf>
    <xf numFmtId="168" fontId="7" fillId="0" borderId="1" xfId="0" applyFont="true" applyBorder="true" applyAlignment="true" applyProtection="false">
      <alignment horizontal="right" vertical="center" textRotation="0" wrapText="false" indent="0" shrinkToFit="false"/>
      <protection locked="true" hidden="false"/>
    </xf>
    <xf numFmtId="169" fontId="7" fillId="0" borderId="1" xfId="0" applyFont="true" applyBorder="true" applyAlignment="true" applyProtection="false">
      <alignment horizontal="right" vertical="center" textRotation="0" wrapText="false" indent="0" shrinkToFit="false"/>
      <protection locked="true" hidden="false"/>
    </xf>
    <xf numFmtId="170" fontId="7" fillId="0" borderId="1" xfId="0" applyFont="true" applyBorder="true" applyAlignment="true" applyProtection="false">
      <alignment horizontal="right" vertical="center" textRotation="0" wrapText="false" indent="0" shrinkToFit="false"/>
      <protection locked="true" hidden="false"/>
    </xf>
    <xf numFmtId="164" fontId="13" fillId="5" borderId="2" xfId="0" applyFont="true" applyBorder="true" applyAlignment="true" applyProtection="false">
      <alignment horizontal="left" vertical="top" textRotation="0" wrapText="true" indent="0" shrinkToFit="false"/>
      <protection locked="true" hidden="false"/>
    </xf>
    <xf numFmtId="164" fontId="10" fillId="4" borderId="1" xfId="0" applyFont="true" applyBorder="true" applyAlignment="true" applyProtection="false">
      <alignment horizontal="left" vertical="center" textRotation="0" wrapText="true" indent="0" shrinkToFit="false"/>
      <protection locked="true" hidden="false"/>
    </xf>
    <xf numFmtId="171" fontId="10" fillId="4" borderId="1" xfId="0" applyFont="true" applyBorder="true" applyAlignment="true" applyProtection="false">
      <alignment horizontal="right" vertical="center" textRotation="0" wrapText="false" indent="0" shrinkToFit="false"/>
      <protection locked="true" hidden="false"/>
    </xf>
    <xf numFmtId="168" fontId="10" fillId="4" borderId="1" xfId="0" applyFont="true" applyBorder="true" applyAlignment="true" applyProtection="false">
      <alignment horizontal="right" vertical="center" textRotation="0" wrapText="false" indent="0" shrinkToFit="false"/>
      <protection locked="true" hidden="false"/>
    </xf>
    <xf numFmtId="169" fontId="12" fillId="0" borderId="1" xfId="0" applyFont="true" applyBorder="true" applyAlignment="true" applyProtection="false">
      <alignment horizontal="right" vertical="center" textRotation="0" wrapText="false" indent="0" shrinkToFit="false"/>
      <protection locked="true" hidden="false"/>
    </xf>
    <xf numFmtId="166" fontId="12" fillId="0" borderId="1" xfId="0" applyFont="true" applyBorder="true" applyAlignment="true" applyProtection="false">
      <alignment horizontal="right" vertical="center" textRotation="0" wrapText="false" indent="0" shrinkToFit="false"/>
      <protection locked="true" hidden="false"/>
    </xf>
    <xf numFmtId="170" fontId="12" fillId="0" borderId="1" xfId="0" applyFont="true" applyBorder="true" applyAlignment="true" applyProtection="false">
      <alignment horizontal="right" vertical="center" textRotation="0" wrapText="false" indent="0" shrinkToFit="false"/>
      <protection locked="true" hidden="false"/>
    </xf>
    <xf numFmtId="172" fontId="10" fillId="4" borderId="1" xfId="0" applyFont="true" applyBorder="true" applyAlignment="true" applyProtection="false">
      <alignment horizontal="right" vertical="center" textRotation="0" wrapText="false" indent="0" shrinkToFit="false"/>
      <protection locked="true" hidden="false"/>
    </xf>
    <xf numFmtId="164" fontId="15" fillId="3"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left" vertical="center" textRotation="0" wrapText="true" indent="0" shrinkToFit="false"/>
      <protection locked="true" hidden="false"/>
    </xf>
    <xf numFmtId="171" fontId="7" fillId="0" borderId="1" xfId="0" applyFont="true" applyBorder="true" applyAlignment="true" applyProtection="false">
      <alignment horizontal="right" vertical="center" textRotation="0" wrapText="false" indent="0" shrinkToFit="false"/>
      <protection locked="true" hidden="false"/>
    </xf>
    <xf numFmtId="173" fontId="12" fillId="0" borderId="1" xfId="0" applyFont="true" applyBorder="true" applyAlignment="true" applyProtection="false">
      <alignment horizontal="right" vertical="center" textRotation="0" wrapText="false" indent="0" shrinkToFit="false"/>
      <protection locked="true" hidden="false"/>
    </xf>
    <xf numFmtId="164" fontId="10" fillId="4" borderId="1" xfId="0" applyFont="true" applyBorder="true" applyAlignment="true" applyProtection="false">
      <alignment horizontal="right" vertical="center" textRotation="0" wrapText="false" indent="0" shrinkToFit="false"/>
      <protection locked="true" hidden="false"/>
    </xf>
    <xf numFmtId="174" fontId="12" fillId="0" borderId="1" xfId="0" applyFont="true" applyBorder="true" applyAlignment="true" applyProtection="false">
      <alignment horizontal="center" vertical="center" textRotation="0" wrapText="true" indent="0" shrinkToFit="false"/>
      <protection locked="true" hidden="false"/>
    </xf>
    <xf numFmtId="164" fontId="17" fillId="6" borderId="2" xfId="0" applyFont="true" applyBorder="true" applyAlignment="true" applyProtection="false">
      <alignment horizontal="left" vertical="top" textRotation="0" wrapText="true" indent="0" shrinkToFit="false"/>
      <protection locked="true" hidden="false"/>
    </xf>
    <xf numFmtId="172" fontId="12" fillId="0" borderId="1" xfId="0" applyFont="true" applyBorder="true" applyAlignment="true" applyProtection="false">
      <alignment horizontal="right" vertical="center" textRotation="0" wrapText="false" indent="0" shrinkToFit="false"/>
      <protection locked="true" hidden="false"/>
    </xf>
    <xf numFmtId="174" fontId="10" fillId="4" borderId="1" xfId="0" applyFont="true" applyBorder="true" applyAlignment="true" applyProtection="false">
      <alignment horizontal="center" vertical="center" textRotation="0" wrapText="true" indent="0" shrinkToFit="false"/>
      <protection locked="true" hidden="false"/>
    </xf>
    <xf numFmtId="175" fontId="10" fillId="4" borderId="1" xfId="0" applyFont="true" applyBorder="true" applyAlignment="true" applyProtection="false">
      <alignment horizontal="center" vertical="center" textRotation="0" wrapText="true" indent="0" shrinkToFit="false"/>
      <protection locked="true" hidden="false"/>
    </xf>
    <xf numFmtId="171" fontId="12" fillId="0" borderId="1" xfId="0" applyFont="true" applyBorder="true" applyAlignment="true" applyProtection="false">
      <alignment horizontal="right" vertical="center" textRotation="0" wrapText="false" indent="0" shrinkToFit="false"/>
      <protection locked="true" hidden="false"/>
    </xf>
    <xf numFmtId="176" fontId="12" fillId="0" borderId="1" xfId="0" applyFont="true" applyBorder="true" applyAlignment="true" applyProtection="false">
      <alignment horizontal="right" vertical="center" textRotation="0" wrapText="false" indent="0" shrinkToFit="false"/>
      <protection locked="true" hidden="false"/>
    </xf>
    <xf numFmtId="174" fontId="18"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74" fontId="19" fillId="0" borderId="1" xfId="0" applyFont="true" applyBorder="true" applyAlignment="true" applyProtection="false">
      <alignment horizontal="center" vertical="center" textRotation="0" wrapText="true" indent="0" shrinkToFit="false"/>
      <protection locked="true" hidden="false"/>
    </xf>
    <xf numFmtId="174" fontId="20"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4" fontId="21" fillId="0"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7">
    <dxf>
      <fill>
        <patternFill patternType="solid">
          <fgColor rgb="FF00A651"/>
          <bgColor rgb="FF000000"/>
        </patternFill>
      </fill>
    </dxf>
    <dxf>
      <fill>
        <patternFill patternType="solid">
          <fgColor rgb="FFEAF2FF"/>
          <bgColor rgb="FF000000"/>
        </patternFill>
      </fill>
    </dxf>
    <dxf>
      <fill>
        <patternFill patternType="solid">
          <fgColor rgb="FF0000FF"/>
          <bgColor rgb="FF000000"/>
        </patternFill>
      </fill>
    </dxf>
    <dxf>
      <fill>
        <patternFill patternType="solid">
          <fgColor rgb="FFFFFFFF"/>
          <bgColor rgb="FF000000"/>
        </patternFill>
      </fill>
    </dxf>
    <dxf>
      <fill>
        <patternFill patternType="solid">
          <bgColor rgb="FF000000"/>
        </patternFill>
      </fill>
    </dxf>
    <dxf>
      <fill>
        <patternFill patternType="solid">
          <fgColor rgb="FF6B7280"/>
          <bgColor rgb="FF000000"/>
        </patternFill>
      </fill>
    </dxf>
    <dxf>
      <font>
        <name val="Arial"/>
        <charset val="1"/>
        <family val="0"/>
        <color rgb="FF00793C"/>
      </font>
    </dxf>
    <dxf>
      <font>
        <name val="Arial"/>
        <charset val="1"/>
        <family val="0"/>
        <color rgb="FFC00000"/>
      </font>
    </dxf>
    <dxf>
      <fill>
        <patternFill patternType="solid">
          <fgColor rgb="FFFBE3E3"/>
          <bgColor rgb="FF000000"/>
        </patternFill>
      </fill>
    </dxf>
    <dxf>
      <fill>
        <patternFill patternType="solid">
          <fgColor rgb="FFFFF3D6"/>
          <bgColor rgb="FF000000"/>
        </patternFill>
      </fill>
    </dxf>
    <dxf>
      <fill>
        <patternFill patternType="solid">
          <fgColor rgb="FFB7791F"/>
          <bgColor rgb="FF000000"/>
        </patternFill>
      </fill>
    </dxf>
    <dxf>
      <fill>
        <patternFill patternType="solid">
          <fgColor rgb="FFC00000"/>
          <bgColor rgb="FF000000"/>
        </patternFill>
      </fill>
    </dxf>
    <dxf>
      <font>
        <name val="Arial"/>
        <charset val="1"/>
        <family val="0"/>
        <b val="1"/>
        <color rgb="FFC00000"/>
      </font>
      <fill>
        <patternFill>
          <bgColor rgb="FFFBE3E3"/>
        </patternFill>
      </fill>
    </dxf>
    <dxf>
      <font>
        <name val="Arial"/>
        <charset val="1"/>
        <family val="0"/>
        <b val="1"/>
        <color rgb="FFB7791F"/>
      </font>
      <fill>
        <patternFill>
          <bgColor rgb="FFFFF3D6"/>
        </patternFill>
      </fill>
    </dxf>
    <dxf>
      <font>
        <name val="Arial"/>
        <charset val="1"/>
        <family val="0"/>
        <b val="1"/>
        <color rgb="FF00793C"/>
      </font>
      <fill>
        <patternFill>
          <bgColor rgb="FFDCF3E4"/>
        </patternFill>
      </fill>
    </dxf>
    <dxf>
      <fill>
        <patternFill patternType="solid">
          <fgColor rgb="FF00793C"/>
          <bgColor rgb="FF000000"/>
        </patternFill>
      </fill>
    </dxf>
    <dxf>
      <fill>
        <patternFill patternType="solid">
          <fgColor rgb="FF1F2937"/>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B7791F"/>
      <rgbColor rgb="FF800080"/>
      <rgbColor rgb="FF00793C"/>
      <rgbColor rgb="FFC0C0C0"/>
      <rgbColor rgb="FF808080"/>
      <rgbColor rgb="FF9999FF"/>
      <rgbColor rgb="FF993366"/>
      <rgbColor rgb="FFFFF7CC"/>
      <rgbColor rgb="FFE8F6EE"/>
      <rgbColor rgb="FF660066"/>
      <rgbColor rgb="FFFF8080"/>
      <rgbColor rgb="FF0066CC"/>
      <rgbColor rgb="FFD7E5DC"/>
      <rgbColor rgb="FF000080"/>
      <rgbColor rgb="FFFF00FF"/>
      <rgbColor rgb="FFFFFF00"/>
      <rgbColor rgb="FF00FFFF"/>
      <rgbColor rgb="FF800080"/>
      <rgbColor rgb="FF800000"/>
      <rgbColor rgb="FF008080"/>
      <rgbColor rgb="FF0000FF"/>
      <rgbColor rgb="FF00CCFF"/>
      <rgbColor rgb="FFEAF2FF"/>
      <rgbColor rgb="FFDCF3E4"/>
      <rgbColor rgb="FFFFF3D6"/>
      <rgbColor rgb="FF99CCFF"/>
      <rgbColor rgb="FFFF99CC"/>
      <rgbColor rgb="FFCC99FF"/>
      <rgbColor rgb="FFFBE3E3"/>
      <rgbColor rgb="FF3366FF"/>
      <rgbColor rgb="FF33CCCC"/>
      <rgbColor rgb="FF99CC00"/>
      <rgbColor rgb="FFFFCC00"/>
      <rgbColor rgb="FFFF9900"/>
      <rgbColor rgb="FFFF6600"/>
      <rgbColor rgb="FF6B7280"/>
      <rgbColor rgb="FF969696"/>
      <rgbColor rgb="FF003366"/>
      <rgbColor rgb="FF00A651"/>
      <rgbColor rgb="FF003300"/>
      <rgbColor rgb="FF333300"/>
      <rgbColor rgb="FF993300"/>
      <rgbColor rgb="FF993366"/>
      <rgbColor rgb="FF333399"/>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2.xml"/><Relationship Id="rId3" Type="http://schemas.openxmlformats.org/officeDocument/2006/relationships/vmlDrawing" Target="../drawings/vmlDrawing2.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3.xml"/><Relationship Id="rId3" Type="http://schemas.openxmlformats.org/officeDocument/2006/relationships/vmlDrawing" Target="../drawings/vmlDrawing3.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4.xml"/><Relationship Id="rId3" Type="http://schemas.openxmlformats.org/officeDocument/2006/relationships/vmlDrawing" Target="../drawings/vmlDrawing4.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5.xml"/><Relationship Id="rId3" Type="http://schemas.openxmlformats.org/officeDocument/2006/relationships/vmlDrawing" Target="../drawings/vmlDrawing5.vml"/>
</Relationships>
</file>

<file path=xl/worksheets/_rels/sheet10.xml.rels><?xml version="1.0" encoding="UTF-8"?>
<Relationships xmlns="http://schemas.openxmlformats.org/package/2006/relationships"><Relationship Id="rId1" Type="http://schemas.openxmlformats.org/officeDocument/2006/relationships/drawing" Target="../drawings/drawing6.xml"/>
</Relationships>
</file>

<file path=xl/worksheets/_rels/sheet12.xml.rels><?xml version="1.0" encoding="UTF-8"?>
<Relationships xmlns="http://schemas.openxmlformats.org/package/2006/relationships"><Relationship Id="rId1" Type="http://schemas.openxmlformats.org/officeDocument/2006/relationships/hyperlink" Target="https://ads.google.com/aw/campaigns" TargetMode="External"/><Relationship Id="rId2" Type="http://schemas.openxmlformats.org/officeDocument/2006/relationships/hyperlink" Target="https://ads.google.com/aw/keywords/searchterms" TargetMode="External"/><Relationship Id="rId3" Type="http://schemas.openxmlformats.org/officeDocument/2006/relationships/hyperlink" Target="https://mcp.windsor.ai/" TargetMode="External"/><Relationship Id="rId4" Type="http://schemas.openxmlformats.org/officeDocument/2006/relationships/hyperlink" Target="https://support.google.com/google-ads/answer/1722022"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793C"/>
    <pageSetUpPr fitToPage="false"/>
  </sheetPr>
  <dimension ref="A1:H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8" min="2" style="0" width="12"/>
  </cols>
  <sheetData>
    <row r="1" customFormat="false" ht="30" hidden="false" customHeight="true" outlineLevel="0" collapsed="false">
      <c r="A1" s="1" t="s">
        <v>0</v>
      </c>
      <c r="B1" s="1"/>
      <c r="C1" s="1"/>
      <c r="D1" s="1"/>
      <c r="E1" s="1"/>
      <c r="F1" s="1"/>
      <c r="G1" s="1"/>
      <c r="H1" s="1"/>
    </row>
    <row r="2" customFormat="false" ht="18" hidden="false" customHeight="true" outlineLevel="0" collapsed="false">
      <c r="A2" s="2" t="s">
        <v>1</v>
      </c>
      <c r="B2" s="2"/>
      <c r="C2" s="2"/>
      <c r="D2" s="2"/>
      <c r="E2" s="2"/>
      <c r="F2" s="2"/>
      <c r="G2" s="2"/>
      <c r="H2" s="2"/>
    </row>
    <row r="4" customFormat="false" ht="21.75" hidden="false" customHeight="true" outlineLevel="0" collapsed="false">
      <c r="A4" s="3" t="s">
        <v>2</v>
      </c>
      <c r="B4" s="3"/>
      <c r="C4" s="3"/>
      <c r="D4" s="3"/>
      <c r="E4" s="3"/>
      <c r="F4" s="3"/>
      <c r="G4" s="3"/>
      <c r="H4" s="3"/>
    </row>
    <row r="5" customFormat="false" ht="30" hidden="false" customHeight="true" outlineLevel="0" collapsed="false">
      <c r="A5" s="4" t="s">
        <v>3</v>
      </c>
      <c r="B5" s="4"/>
      <c r="C5" s="4"/>
      <c r="D5" s="4"/>
      <c r="E5" s="4"/>
      <c r="F5" s="4"/>
      <c r="G5" s="4"/>
      <c r="H5" s="4"/>
    </row>
    <row r="6" customFormat="false" ht="18" hidden="false" customHeight="true" outlineLevel="0" collapsed="false">
      <c r="A6" s="5" t="s">
        <v>4</v>
      </c>
      <c r="B6" s="5"/>
      <c r="C6" s="5"/>
      <c r="D6" s="5"/>
      <c r="E6" s="5"/>
      <c r="F6" s="5"/>
      <c r="G6" s="5"/>
      <c r="H6" s="5"/>
    </row>
    <row r="7" customFormat="false" ht="30" hidden="false" customHeight="true" outlineLevel="0" collapsed="false">
      <c r="A7" s="4" t="s">
        <v>5</v>
      </c>
      <c r="B7" s="4"/>
      <c r="C7" s="4"/>
      <c r="D7" s="4"/>
      <c r="E7" s="4"/>
      <c r="F7" s="4"/>
      <c r="G7" s="4"/>
      <c r="H7" s="4"/>
    </row>
    <row r="9" customFormat="false" ht="21.75" hidden="false" customHeight="true" outlineLevel="0" collapsed="false">
      <c r="A9" s="3" t="s">
        <v>6</v>
      </c>
      <c r="B9" s="3"/>
      <c r="C9" s="3"/>
      <c r="D9" s="3"/>
      <c r="E9" s="3"/>
      <c r="F9" s="3"/>
      <c r="G9" s="3"/>
      <c r="H9" s="3"/>
    </row>
    <row r="10" customFormat="false" ht="30" hidden="false" customHeight="true" outlineLevel="0" collapsed="false">
      <c r="A10" s="4" t="s">
        <v>7</v>
      </c>
      <c r="B10" s="4"/>
      <c r="C10" s="4"/>
      <c r="D10" s="4"/>
      <c r="E10" s="4"/>
      <c r="F10" s="4"/>
      <c r="G10" s="4"/>
      <c r="H10" s="4"/>
    </row>
    <row r="12" customFormat="false" ht="21.75" hidden="false" customHeight="true" outlineLevel="0" collapsed="false">
      <c r="A12" s="3" t="s">
        <v>8</v>
      </c>
      <c r="B12" s="3"/>
      <c r="C12" s="3"/>
      <c r="D12" s="3"/>
      <c r="E12" s="3"/>
      <c r="F12" s="3"/>
      <c r="G12" s="3"/>
      <c r="H12" s="3"/>
    </row>
    <row r="13" customFormat="false" ht="18" hidden="false" customHeight="true" outlineLevel="0" collapsed="false">
      <c r="A13" s="4" t="s">
        <v>9</v>
      </c>
      <c r="B13" s="4"/>
      <c r="C13" s="4"/>
      <c r="D13" s="4"/>
      <c r="E13" s="4"/>
      <c r="F13" s="4"/>
      <c r="G13" s="4"/>
      <c r="H13" s="4"/>
    </row>
    <row r="14" customFormat="false" ht="30" hidden="false" customHeight="true" outlineLevel="0" collapsed="false">
      <c r="A14" s="4" t="s">
        <v>10</v>
      </c>
      <c r="B14" s="4"/>
      <c r="C14" s="4"/>
      <c r="D14" s="4"/>
      <c r="E14" s="4"/>
      <c r="F14" s="4"/>
      <c r="G14" s="4"/>
      <c r="H14" s="4"/>
    </row>
    <row r="15" customFormat="false" ht="30" hidden="false" customHeight="true" outlineLevel="0" collapsed="false">
      <c r="A15" s="4" t="s">
        <v>11</v>
      </c>
      <c r="B15" s="4"/>
      <c r="C15" s="4"/>
      <c r="D15" s="4"/>
      <c r="E15" s="4"/>
      <c r="F15" s="4"/>
      <c r="G15" s="4"/>
      <c r="H15" s="4"/>
    </row>
    <row r="16" customFormat="false" ht="30" hidden="false" customHeight="true" outlineLevel="0" collapsed="false">
      <c r="A16" s="4" t="s">
        <v>12</v>
      </c>
      <c r="B16" s="4"/>
      <c r="C16" s="4"/>
      <c r="D16" s="4"/>
      <c r="E16" s="4"/>
      <c r="F16" s="4"/>
      <c r="G16" s="4"/>
      <c r="H16" s="4"/>
    </row>
    <row r="17" customFormat="false" ht="30" hidden="false" customHeight="true" outlineLevel="0" collapsed="false">
      <c r="A17" s="4" t="s">
        <v>13</v>
      </c>
      <c r="B17" s="4"/>
      <c r="C17" s="4"/>
      <c r="D17" s="4"/>
      <c r="E17" s="4"/>
      <c r="F17" s="4"/>
      <c r="G17" s="4"/>
      <c r="H17" s="4"/>
    </row>
    <row r="18" customFormat="false" ht="30" hidden="false" customHeight="true" outlineLevel="0" collapsed="false">
      <c r="A18" s="4" t="s">
        <v>14</v>
      </c>
      <c r="B18" s="4"/>
      <c r="C18" s="4"/>
      <c r="D18" s="4"/>
      <c r="E18" s="4"/>
      <c r="F18" s="4"/>
      <c r="G18" s="4"/>
      <c r="H18" s="4"/>
    </row>
    <row r="20" customFormat="false" ht="21.75" hidden="false" customHeight="true" outlineLevel="0" collapsed="false">
      <c r="A20" s="3" t="s">
        <v>15</v>
      </c>
      <c r="B20" s="3"/>
      <c r="C20" s="3"/>
      <c r="D20" s="3"/>
      <c r="E20" s="3"/>
      <c r="F20" s="3"/>
      <c r="G20" s="3"/>
      <c r="H20" s="3"/>
    </row>
    <row r="21" customFormat="false" ht="30" hidden="false" customHeight="true" outlineLevel="0" collapsed="false">
      <c r="A21" s="4" t="s">
        <v>16</v>
      </c>
      <c r="B21" s="4"/>
      <c r="C21" s="4"/>
      <c r="D21" s="4"/>
      <c r="E21" s="4"/>
      <c r="F21" s="4"/>
      <c r="G21" s="4"/>
      <c r="H21" s="4"/>
    </row>
  </sheetData>
  <mergeCells count="17">
    <mergeCell ref="A1:H1"/>
    <mergeCell ref="A2:H2"/>
    <mergeCell ref="A4:H4"/>
    <mergeCell ref="A5:H5"/>
    <mergeCell ref="A6:H6"/>
    <mergeCell ref="A7:H7"/>
    <mergeCell ref="A9:H9"/>
    <mergeCell ref="A10:H10"/>
    <mergeCell ref="A12:H12"/>
    <mergeCell ref="A13:H13"/>
    <mergeCell ref="A14:H14"/>
    <mergeCell ref="A15:H15"/>
    <mergeCell ref="A16:H16"/>
    <mergeCell ref="A17:H17"/>
    <mergeCell ref="A18:H18"/>
    <mergeCell ref="A20:H20"/>
    <mergeCell ref="A21:H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793C"/>
    <pageSetUpPr fitToPage="false"/>
  </sheetPr>
  <dimension ref="A1:P1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3" min="2" style="0" width="16"/>
    <col collapsed="false" customWidth="true" hidden="false" outlineLevel="0" max="4" min="4" style="0" width="12"/>
    <col collapsed="false" customWidth="true" hidden="false" outlineLevel="0" max="5" min="5" style="0" width="4"/>
  </cols>
  <sheetData>
    <row r="1" customFormat="false" ht="30" hidden="false" customHeight="true" outlineLevel="0" collapsed="false">
      <c r="A1" s="1" t="s">
        <v>17</v>
      </c>
      <c r="B1" s="1"/>
      <c r="C1" s="1"/>
      <c r="D1" s="1"/>
      <c r="E1" s="1"/>
      <c r="P1" s="6" t="n">
        <f aca="false">IFERROR(MATCH($B$4,'Account Summary'!$A$5:$A$28,0),1)</f>
        <v>3</v>
      </c>
    </row>
    <row r="2" customFormat="false" ht="18" hidden="false" customHeight="true" outlineLevel="0" collapsed="false">
      <c r="A2" s="2" t="s">
        <v>18</v>
      </c>
      <c r="B2" s="2"/>
      <c r="C2" s="2"/>
      <c r="D2" s="2"/>
      <c r="E2" s="2"/>
    </row>
    <row r="4" customFormat="false" ht="15" hidden="false" customHeight="false" outlineLevel="0" collapsed="false">
      <c r="A4" s="7" t="s">
        <v>19</v>
      </c>
      <c r="B4" s="8" t="s">
        <v>20</v>
      </c>
    </row>
    <row r="6" customFormat="false" ht="27.75" hidden="false" customHeight="true" outlineLevel="0" collapsed="false">
      <c r="A6" s="9" t="s">
        <v>21</v>
      </c>
      <c r="B6" s="9" t="s">
        <v>22</v>
      </c>
      <c r="C6" s="9" t="s">
        <v>23</v>
      </c>
      <c r="D6" s="9" t="s">
        <v>24</v>
      </c>
    </row>
    <row r="7" customFormat="false" ht="15" hidden="false" customHeight="false" outlineLevel="0" collapsed="false">
      <c r="A7" s="10" t="s">
        <v>25</v>
      </c>
      <c r="B7" s="11" t="n">
        <f aca="false">IFERROR(INDEX('Account Summary'!$B$5:$B$28,$P$1),"")</f>
        <v>6300</v>
      </c>
      <c r="C7" s="11" t="n">
        <f aca="false">IFERROR(IF($P$1&lt;=1,"",INDEX('Account Summary'!$B$5:$B$28,$P$1-1)),"")</f>
        <v>5100</v>
      </c>
      <c r="D7" s="12" t="n">
        <f aca="false">IF(OR(C7="",C7=0,B7=""),"",(B7-C7)/C7)</f>
        <v>0.235294117647059</v>
      </c>
    </row>
    <row r="8" customFormat="false" ht="15" hidden="false" customHeight="false" outlineLevel="0" collapsed="false">
      <c r="A8" s="10" t="s">
        <v>26</v>
      </c>
      <c r="B8" s="13" t="n">
        <f aca="false">IFERROR(INDEX('Account Summary'!$D$5:$D$28,$P$1),"")</f>
        <v>11800</v>
      </c>
      <c r="C8" s="13" t="n">
        <f aca="false">IFERROR(IF($P$1&lt;=1,"",INDEX('Account Summary'!$D$5:$D$28,$P$1-1)),"")</f>
        <v>10200</v>
      </c>
      <c r="D8" s="12" t="n">
        <f aca="false">IF(OR(C8="",C8=0,B8=""),"",(B8-C8)/C8)</f>
        <v>0.156862745098039</v>
      </c>
    </row>
    <row r="9" customFormat="false" ht="15" hidden="false" customHeight="false" outlineLevel="0" collapsed="false">
      <c r="A9" s="10" t="s">
        <v>27</v>
      </c>
      <c r="B9" s="14" t="n">
        <f aca="false">IFERROR(INDEX('Account Summary'!$E$5:$E$28,$P$1),"")</f>
        <v>0.0259340659340659</v>
      </c>
      <c r="C9" s="14" t="n">
        <f aca="false">IFERROR(IF($P$1&lt;=1,"",INDEX('Account Summary'!$E$5:$E$28,$P$1-1)),"")</f>
        <v>0.0248780487804878</v>
      </c>
      <c r="D9" s="12" t="n">
        <f aca="false">IF(OR(C9="",B9=""),"",B9-C9)</f>
        <v>0.00105601715357813</v>
      </c>
    </row>
    <row r="10" customFormat="false" ht="15" hidden="false" customHeight="false" outlineLevel="0" collapsed="false">
      <c r="A10" s="10" t="s">
        <v>28</v>
      </c>
      <c r="B10" s="11" t="n">
        <f aca="false">IFERROR(INDEX('Account Summary'!$F$5:$F$28,$P$1),"")</f>
        <v>0.533898305084746</v>
      </c>
      <c r="C10" s="11" t="n">
        <f aca="false">IFERROR(IF($P$1&lt;=1,"",INDEX('Account Summary'!$F$5:$F$28,$P$1-1)),"")</f>
        <v>0.5</v>
      </c>
      <c r="D10" s="12" t="n">
        <f aca="false">IF(OR(C10="",C10=0,B10=""),"",(B10-C10)/C10)</f>
        <v>0.0677966101694916</v>
      </c>
    </row>
    <row r="11" customFormat="false" ht="15" hidden="false" customHeight="false" outlineLevel="0" collapsed="false">
      <c r="A11" s="10" t="s">
        <v>29</v>
      </c>
      <c r="B11" s="13" t="n">
        <f aca="false">IFERROR(INDEX('Account Summary'!$G$5:$G$28,$P$1),"")</f>
        <v>96</v>
      </c>
      <c r="C11" s="13" t="n">
        <f aca="false">IFERROR(IF($P$1&lt;=1,"",INDEX('Account Summary'!$G$5:$G$28,$P$1-1)),"")</f>
        <v>78</v>
      </c>
      <c r="D11" s="12" t="n">
        <f aca="false">IF(OR(C11="",C11=0,B11=""),"",(B11-C11)/C11)</f>
        <v>0.230769230769231</v>
      </c>
    </row>
    <row r="12" customFormat="false" ht="15" hidden="false" customHeight="false" outlineLevel="0" collapsed="false">
      <c r="A12" s="10" t="s">
        <v>30</v>
      </c>
      <c r="B12" s="11" t="n">
        <f aca="false">IFERROR(INDEX('Account Summary'!$I$5:$I$28,$P$1),"")</f>
        <v>65.625</v>
      </c>
      <c r="C12" s="11" t="n">
        <f aca="false">IFERROR(IF($P$1&lt;=1,"",INDEX('Account Summary'!$I$5:$I$28,$P$1-1)),"")</f>
        <v>65.3846153846154</v>
      </c>
      <c r="D12" s="12" t="n">
        <f aca="false">IF(OR(C12="",C12=0,B12=""),"",(B12-C12)/C12)</f>
        <v>0.00367647058823526</v>
      </c>
    </row>
    <row r="13" customFormat="false" ht="15" hidden="false" customHeight="false" outlineLevel="0" collapsed="false">
      <c r="A13" s="10" t="s">
        <v>31</v>
      </c>
      <c r="B13" s="14" t="n">
        <f aca="false">IFERROR(INDEX('Account Summary'!$J$5:$J$28,$P$1),"")</f>
        <v>0.00813559322033898</v>
      </c>
      <c r="C13" s="14" t="n">
        <f aca="false">IFERROR(IF($P$1&lt;=1,"",INDEX('Account Summary'!$J$5:$J$28,$P$1-1)),"")</f>
        <v>0.00764705882352941</v>
      </c>
      <c r="D13" s="12" t="n">
        <f aca="false">IF(OR(C13="",B13=""),"",B13-C13)</f>
        <v>0.000488534396809571</v>
      </c>
    </row>
    <row r="14" customFormat="false" ht="15" hidden="false" customHeight="false" outlineLevel="0" collapsed="false">
      <c r="A14" s="10" t="s">
        <v>32</v>
      </c>
      <c r="B14" s="15" t="n">
        <f aca="false">IFERROR(INDEX('Account Summary'!$K$5:$K$28,$P$1),"")</f>
        <v>4.28571428571429</v>
      </c>
      <c r="C14" s="15" t="n">
        <f aca="false">IFERROR(IF($P$1&lt;=1,"",INDEX('Account Summary'!$K$5:$K$28,$P$1-1)),"")</f>
        <v>4.11764705882353</v>
      </c>
      <c r="D14" s="12" t="n">
        <f aca="false">IF(OR(C14="",C14=0,B14=""),"",(B14-C14)/C14)</f>
        <v>0.0408163265306123</v>
      </c>
    </row>
    <row r="15" customFormat="false" ht="15" hidden="false" customHeight="false" outlineLevel="0" collapsed="false">
      <c r="A15" s="10" t="s">
        <v>33</v>
      </c>
      <c r="B15" s="14" t="n">
        <f aca="false">IFERROR(INDEX('Account Summary'!$L$5:$L$28,$P$1),"")</f>
        <v>0.48</v>
      </c>
      <c r="C15" s="14" t="n">
        <f aca="false">IFERROR(IF($P$1&lt;=1,"",INDEX('Account Summary'!$L$5:$L$28,$P$1-1)),"")</f>
        <v>0.45</v>
      </c>
      <c r="D15" s="12" t="n">
        <f aca="false">IF(OR(C15="",B15=""),"",B15-C15)</f>
        <v>0.03</v>
      </c>
    </row>
    <row r="17" customFormat="false" ht="45.75" hidden="false" customHeight="true" outlineLevel="0" collapsed="false">
      <c r="A17" s="16" t="s">
        <v>34</v>
      </c>
      <c r="B17" s="16"/>
      <c r="C17" s="16"/>
      <c r="D17" s="16"/>
    </row>
    <row r="18" customFormat="false" ht="15" hidden="false" customHeight="false" outlineLevel="0" collapsed="false">
      <c r="A18" s="16"/>
      <c r="B18" s="16"/>
      <c r="C18" s="16"/>
      <c r="D18" s="16"/>
    </row>
    <row r="19" customFormat="false" ht="15" hidden="false" customHeight="false" outlineLevel="0" collapsed="false">
      <c r="A19" s="16"/>
      <c r="B19" s="16"/>
      <c r="C19" s="16"/>
      <c r="D19" s="16"/>
    </row>
  </sheetData>
  <mergeCells count="3">
    <mergeCell ref="A1:E1"/>
    <mergeCell ref="A2:E2"/>
    <mergeCell ref="A17:D19"/>
  </mergeCells>
  <dataValidations count="1">
    <dataValidation allowBlank="true" errorStyle="stop" operator="between" showDropDown="false" showErrorMessage="false" showInputMessage="false" sqref="B4" type="list">
      <formula1>'Account Summary'!$A$5:$A$28</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793C"/>
    <pageSetUpPr fitToPage="false"/>
  </sheetPr>
  <dimension ref="A1:L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2" min="1" style="0" width="11"/>
    <col collapsed="false" customWidth="true" hidden="false" outlineLevel="0" max="3" min="3" style="0" width="13"/>
    <col collapsed="false" customWidth="true" hidden="false" outlineLevel="0" max="4" min="4" style="0" width="10"/>
    <col collapsed="false" customWidth="true" hidden="false" outlineLevel="0" max="5" min="5" style="0" width="9"/>
    <col collapsed="false" customWidth="true" hidden="false" outlineLevel="0" max="6" min="6" style="0" width="10"/>
    <col collapsed="false" customWidth="true" hidden="false" outlineLevel="0" max="9" min="7" style="0" width="12"/>
    <col collapsed="false" customWidth="true" hidden="false" outlineLevel="0" max="10" min="10" style="0" width="10"/>
    <col collapsed="false" customWidth="true" hidden="false" outlineLevel="0" max="11" min="11" style="0" width="8"/>
    <col collapsed="false" customWidth="true" hidden="false" outlineLevel="0" max="12" min="12" style="0" width="15"/>
  </cols>
  <sheetData>
    <row r="1" customFormat="false" ht="30" hidden="false" customHeight="true" outlineLevel="0" collapsed="false">
      <c r="A1" s="1" t="s">
        <v>35</v>
      </c>
      <c r="B1" s="1"/>
      <c r="C1" s="1"/>
      <c r="D1" s="1"/>
      <c r="E1" s="1"/>
      <c r="F1" s="1"/>
      <c r="G1" s="1"/>
      <c r="H1" s="1"/>
      <c r="I1" s="1"/>
      <c r="J1" s="1"/>
      <c r="K1" s="1"/>
      <c r="L1" s="1"/>
    </row>
    <row r="2" customFormat="false" ht="18" hidden="false" customHeight="true" outlineLevel="0" collapsed="false">
      <c r="A2" s="2" t="s">
        <v>36</v>
      </c>
      <c r="B2" s="2"/>
      <c r="C2" s="2"/>
      <c r="D2" s="2"/>
      <c r="E2" s="2"/>
      <c r="F2" s="2"/>
      <c r="G2" s="2"/>
      <c r="H2" s="2"/>
      <c r="I2" s="2"/>
      <c r="J2" s="2"/>
      <c r="K2" s="2"/>
      <c r="L2" s="2"/>
    </row>
    <row r="4" customFormat="false" ht="27.75" hidden="false" customHeight="true" outlineLevel="0" collapsed="false">
      <c r="A4" s="9" t="s">
        <v>37</v>
      </c>
      <c r="B4" s="9" t="s">
        <v>25</v>
      </c>
      <c r="C4" s="9" t="s">
        <v>38</v>
      </c>
      <c r="D4" s="9" t="s">
        <v>26</v>
      </c>
      <c r="E4" s="9" t="s">
        <v>27</v>
      </c>
      <c r="F4" s="9" t="s">
        <v>28</v>
      </c>
      <c r="G4" s="9" t="s">
        <v>29</v>
      </c>
      <c r="H4" s="9" t="s">
        <v>39</v>
      </c>
      <c r="I4" s="9" t="s">
        <v>30</v>
      </c>
      <c r="J4" s="9" t="s">
        <v>31</v>
      </c>
      <c r="K4" s="9" t="s">
        <v>32</v>
      </c>
      <c r="L4" s="9" t="s">
        <v>33</v>
      </c>
    </row>
    <row r="5" customFormat="false" ht="15" hidden="false" customHeight="false" outlineLevel="0" collapsed="false">
      <c r="A5" s="17" t="s">
        <v>40</v>
      </c>
      <c r="B5" s="18" t="n">
        <v>4200</v>
      </c>
      <c r="C5" s="19" t="n">
        <v>380000</v>
      </c>
      <c r="D5" s="19" t="n">
        <v>9500</v>
      </c>
      <c r="E5" s="20" t="n">
        <f aca="false">IF(OR(C5="",C5=0),"",D5/C5)</f>
        <v>0.025</v>
      </c>
      <c r="F5" s="21" t="n">
        <f aca="false">IF(OR(D5="",D5=0),"",B5/D5)</f>
        <v>0.442105263157895</v>
      </c>
      <c r="G5" s="19" t="n">
        <v>60</v>
      </c>
      <c r="H5" s="18" t="n">
        <v>15000</v>
      </c>
      <c r="I5" s="21" t="n">
        <f aca="false">IF(OR(G5="",G5=0),"",B5/G5)</f>
        <v>70</v>
      </c>
      <c r="J5" s="20" t="n">
        <f aca="false">IF(OR(D5="",D5=0),"",G5/D5)</f>
        <v>0.00631578947368421</v>
      </c>
      <c r="K5" s="22" t="n">
        <f aca="false">IF(OR(B5="",B5=0),"",H5/B5)</f>
        <v>3.57142857142857</v>
      </c>
      <c r="L5" s="23" t="n">
        <v>0.42</v>
      </c>
    </row>
    <row r="6" customFormat="false" ht="15" hidden="false" customHeight="false" outlineLevel="0" collapsed="false">
      <c r="A6" s="17" t="s">
        <v>41</v>
      </c>
      <c r="B6" s="18" t="n">
        <v>5100</v>
      </c>
      <c r="C6" s="19" t="n">
        <v>410000</v>
      </c>
      <c r="D6" s="19" t="n">
        <v>10200</v>
      </c>
      <c r="E6" s="20" t="n">
        <f aca="false">IF(OR(C6="",C6=0),"",D6/C6)</f>
        <v>0.0248780487804878</v>
      </c>
      <c r="F6" s="21" t="n">
        <f aca="false">IF(OR(D6="",D6=0),"",B6/D6)</f>
        <v>0.5</v>
      </c>
      <c r="G6" s="19" t="n">
        <v>78</v>
      </c>
      <c r="H6" s="18" t="n">
        <v>21000</v>
      </c>
      <c r="I6" s="21" t="n">
        <f aca="false">IF(OR(G6="",G6=0),"",B6/G6)</f>
        <v>65.3846153846154</v>
      </c>
      <c r="J6" s="20" t="n">
        <f aca="false">IF(OR(D6="",D6=0),"",G6/D6)</f>
        <v>0.00764705882352941</v>
      </c>
      <c r="K6" s="22" t="n">
        <f aca="false">IF(OR(B6="",B6=0),"",H6/B6)</f>
        <v>4.11764705882353</v>
      </c>
      <c r="L6" s="23" t="n">
        <v>0.45</v>
      </c>
    </row>
    <row r="7" customFormat="false" ht="15" hidden="false" customHeight="false" outlineLevel="0" collapsed="false">
      <c r="A7" s="17" t="s">
        <v>20</v>
      </c>
      <c r="B7" s="18" t="n">
        <v>6300</v>
      </c>
      <c r="C7" s="19" t="n">
        <v>455000</v>
      </c>
      <c r="D7" s="19" t="n">
        <v>11800</v>
      </c>
      <c r="E7" s="20" t="n">
        <f aca="false">IF(OR(C7="",C7=0),"",D7/C7)</f>
        <v>0.0259340659340659</v>
      </c>
      <c r="F7" s="21" t="n">
        <f aca="false">IF(OR(D7="",D7=0),"",B7/D7)</f>
        <v>0.533898305084746</v>
      </c>
      <c r="G7" s="19" t="n">
        <v>96</v>
      </c>
      <c r="H7" s="18" t="n">
        <v>27000</v>
      </c>
      <c r="I7" s="21" t="n">
        <f aca="false">IF(OR(G7="",G7=0),"",B7/G7)</f>
        <v>65.625</v>
      </c>
      <c r="J7" s="20" t="n">
        <f aca="false">IF(OR(D7="",D7=0),"",G7/D7)</f>
        <v>0.00813559322033898</v>
      </c>
      <c r="K7" s="22" t="n">
        <f aca="false">IF(OR(B7="",B7=0),"",H7/B7)</f>
        <v>4.28571428571429</v>
      </c>
      <c r="L7" s="23" t="n">
        <v>0.48</v>
      </c>
    </row>
    <row r="8" customFormat="false" ht="15" hidden="false" customHeight="false" outlineLevel="0" collapsed="false">
      <c r="A8" s="17" t="s">
        <v>42</v>
      </c>
      <c r="B8" s="18"/>
      <c r="C8" s="19"/>
      <c r="D8" s="19"/>
      <c r="E8" s="20" t="str">
        <f aca="false">IF(OR(C8="",C8=0),"",D8/C8)</f>
        <v/>
      </c>
      <c r="F8" s="21" t="str">
        <f aca="false">IF(OR(D8="",D8=0),"",B8/D8)</f>
        <v/>
      </c>
      <c r="G8" s="19"/>
      <c r="H8" s="18"/>
      <c r="I8" s="21" t="str">
        <f aca="false">IF(OR(G8="",G8=0),"",B8/G8)</f>
        <v/>
      </c>
      <c r="J8" s="20" t="str">
        <f aca="false">IF(OR(D8="",D8=0),"",G8/D8)</f>
        <v/>
      </c>
      <c r="K8" s="22" t="str">
        <f aca="false">IF(OR(B8="",B8=0),"",H8/B8)</f>
        <v/>
      </c>
      <c r="L8" s="23"/>
    </row>
    <row r="9" customFormat="false" ht="15" hidden="false" customHeight="false" outlineLevel="0" collapsed="false">
      <c r="A9" s="17" t="s">
        <v>43</v>
      </c>
      <c r="B9" s="18"/>
      <c r="C9" s="19"/>
      <c r="D9" s="19"/>
      <c r="E9" s="20" t="str">
        <f aca="false">IF(OR(C9="",C9=0),"",D9/C9)</f>
        <v/>
      </c>
      <c r="F9" s="21" t="str">
        <f aca="false">IF(OR(D9="",D9=0),"",B9/D9)</f>
        <v/>
      </c>
      <c r="G9" s="19"/>
      <c r="H9" s="18"/>
      <c r="I9" s="21" t="str">
        <f aca="false">IF(OR(G9="",G9=0),"",B9/G9)</f>
        <v/>
      </c>
      <c r="J9" s="20" t="str">
        <f aca="false">IF(OR(D9="",D9=0),"",G9/D9)</f>
        <v/>
      </c>
      <c r="K9" s="22" t="str">
        <f aca="false">IF(OR(B9="",B9=0),"",H9/B9)</f>
        <v/>
      </c>
      <c r="L9" s="23"/>
    </row>
    <row r="10" customFormat="false" ht="15" hidden="false" customHeight="false" outlineLevel="0" collapsed="false">
      <c r="A10" s="17" t="s">
        <v>44</v>
      </c>
      <c r="B10" s="18"/>
      <c r="C10" s="19"/>
      <c r="D10" s="19"/>
      <c r="E10" s="20" t="str">
        <f aca="false">IF(OR(C10="",C10=0),"",D10/C10)</f>
        <v/>
      </c>
      <c r="F10" s="21" t="str">
        <f aca="false">IF(OR(D10="",D10=0),"",B10/D10)</f>
        <v/>
      </c>
      <c r="G10" s="19"/>
      <c r="H10" s="18"/>
      <c r="I10" s="21" t="str">
        <f aca="false">IF(OR(G10="",G10=0),"",B10/G10)</f>
        <v/>
      </c>
      <c r="J10" s="20" t="str">
        <f aca="false">IF(OR(D10="",D10=0),"",G10/D10)</f>
        <v/>
      </c>
      <c r="K10" s="22" t="str">
        <f aca="false">IF(OR(B10="",B10=0),"",H10/B10)</f>
        <v/>
      </c>
      <c r="L10" s="23"/>
    </row>
    <row r="11" customFormat="false" ht="15" hidden="false" customHeight="false" outlineLevel="0" collapsed="false">
      <c r="A11" s="17" t="s">
        <v>45</v>
      </c>
      <c r="B11" s="18"/>
      <c r="C11" s="19"/>
      <c r="D11" s="19"/>
      <c r="E11" s="20" t="str">
        <f aca="false">IF(OR(C11="",C11=0),"",D11/C11)</f>
        <v/>
      </c>
      <c r="F11" s="21" t="str">
        <f aca="false">IF(OR(D11="",D11=0),"",B11/D11)</f>
        <v/>
      </c>
      <c r="G11" s="19"/>
      <c r="H11" s="18"/>
      <c r="I11" s="21" t="str">
        <f aca="false">IF(OR(G11="",G11=0),"",B11/G11)</f>
        <v/>
      </c>
      <c r="J11" s="20" t="str">
        <f aca="false">IF(OR(D11="",D11=0),"",G11/D11)</f>
        <v/>
      </c>
      <c r="K11" s="22" t="str">
        <f aca="false">IF(OR(B11="",B11=0),"",H11/B11)</f>
        <v/>
      </c>
      <c r="L11" s="23"/>
    </row>
    <row r="12" customFormat="false" ht="15" hidden="false" customHeight="false" outlineLevel="0" collapsed="false">
      <c r="A12" s="17" t="s">
        <v>46</v>
      </c>
      <c r="B12" s="18"/>
      <c r="C12" s="19"/>
      <c r="D12" s="19"/>
      <c r="E12" s="20" t="str">
        <f aca="false">IF(OR(C12="",C12=0),"",D12/C12)</f>
        <v/>
      </c>
      <c r="F12" s="21" t="str">
        <f aca="false">IF(OR(D12="",D12=0),"",B12/D12)</f>
        <v/>
      </c>
      <c r="G12" s="19"/>
      <c r="H12" s="18"/>
      <c r="I12" s="21" t="str">
        <f aca="false">IF(OR(G12="",G12=0),"",B12/G12)</f>
        <v/>
      </c>
      <c r="J12" s="20" t="str">
        <f aca="false">IF(OR(D12="",D12=0),"",G12/D12)</f>
        <v/>
      </c>
      <c r="K12" s="22" t="str">
        <f aca="false">IF(OR(B12="",B12=0),"",H12/B12)</f>
        <v/>
      </c>
      <c r="L12" s="23"/>
    </row>
    <row r="13" customFormat="false" ht="15" hidden="false" customHeight="false" outlineLevel="0" collapsed="false">
      <c r="A13" s="17" t="s">
        <v>47</v>
      </c>
      <c r="B13" s="18"/>
      <c r="C13" s="19"/>
      <c r="D13" s="19"/>
      <c r="E13" s="20" t="str">
        <f aca="false">IF(OR(C13="",C13=0),"",D13/C13)</f>
        <v/>
      </c>
      <c r="F13" s="21" t="str">
        <f aca="false">IF(OR(D13="",D13=0),"",B13/D13)</f>
        <v/>
      </c>
      <c r="G13" s="19"/>
      <c r="H13" s="18"/>
      <c r="I13" s="21" t="str">
        <f aca="false">IF(OR(G13="",G13=0),"",B13/G13)</f>
        <v/>
      </c>
      <c r="J13" s="20" t="str">
        <f aca="false">IF(OR(D13="",D13=0),"",G13/D13)</f>
        <v/>
      </c>
      <c r="K13" s="22" t="str">
        <f aca="false">IF(OR(B13="",B13=0),"",H13/B13)</f>
        <v/>
      </c>
      <c r="L13" s="23"/>
    </row>
    <row r="14" customFormat="false" ht="15" hidden="false" customHeight="false" outlineLevel="0" collapsed="false">
      <c r="A14" s="17" t="s">
        <v>48</v>
      </c>
      <c r="B14" s="18"/>
      <c r="C14" s="19"/>
      <c r="D14" s="19"/>
      <c r="E14" s="20" t="str">
        <f aca="false">IF(OR(C14="",C14=0),"",D14/C14)</f>
        <v/>
      </c>
      <c r="F14" s="21" t="str">
        <f aca="false">IF(OR(D14="",D14=0),"",B14/D14)</f>
        <v/>
      </c>
      <c r="G14" s="19"/>
      <c r="H14" s="18"/>
      <c r="I14" s="21" t="str">
        <f aca="false">IF(OR(G14="",G14=0),"",B14/G14)</f>
        <v/>
      </c>
      <c r="J14" s="20" t="str">
        <f aca="false">IF(OR(D14="",D14=0),"",G14/D14)</f>
        <v/>
      </c>
      <c r="K14" s="22" t="str">
        <f aca="false">IF(OR(B14="",B14=0),"",H14/B14)</f>
        <v/>
      </c>
      <c r="L14" s="23"/>
    </row>
    <row r="15" customFormat="false" ht="15" hidden="false" customHeight="false" outlineLevel="0" collapsed="false">
      <c r="A15" s="17" t="s">
        <v>49</v>
      </c>
      <c r="B15" s="18"/>
      <c r="C15" s="19"/>
      <c r="D15" s="19"/>
      <c r="E15" s="20" t="str">
        <f aca="false">IF(OR(C15="",C15=0),"",D15/C15)</f>
        <v/>
      </c>
      <c r="F15" s="21" t="str">
        <f aca="false">IF(OR(D15="",D15=0),"",B15/D15)</f>
        <v/>
      </c>
      <c r="G15" s="19"/>
      <c r="H15" s="18"/>
      <c r="I15" s="21" t="str">
        <f aca="false">IF(OR(G15="",G15=0),"",B15/G15)</f>
        <v/>
      </c>
      <c r="J15" s="20" t="str">
        <f aca="false">IF(OR(D15="",D15=0),"",G15/D15)</f>
        <v/>
      </c>
      <c r="K15" s="22" t="str">
        <f aca="false">IF(OR(B15="",B15=0),"",H15/B15)</f>
        <v/>
      </c>
      <c r="L15" s="23"/>
    </row>
    <row r="16" customFormat="false" ht="15" hidden="false" customHeight="false" outlineLevel="0" collapsed="false">
      <c r="A16" s="17" t="s">
        <v>50</v>
      </c>
      <c r="B16" s="18"/>
      <c r="C16" s="19"/>
      <c r="D16" s="19"/>
      <c r="E16" s="20" t="str">
        <f aca="false">IF(OR(C16="",C16=0),"",D16/C16)</f>
        <v/>
      </c>
      <c r="F16" s="21" t="str">
        <f aca="false">IF(OR(D16="",D16=0),"",B16/D16)</f>
        <v/>
      </c>
      <c r="G16" s="19"/>
      <c r="H16" s="18"/>
      <c r="I16" s="21" t="str">
        <f aca="false">IF(OR(G16="",G16=0),"",B16/G16)</f>
        <v/>
      </c>
      <c r="J16" s="20" t="str">
        <f aca="false">IF(OR(D16="",D16=0),"",G16/D16)</f>
        <v/>
      </c>
      <c r="K16" s="22" t="str">
        <f aca="false">IF(OR(B16="",B16=0),"",H16/B16)</f>
        <v/>
      </c>
      <c r="L16" s="23"/>
    </row>
    <row r="17" customFormat="false" ht="15" hidden="false" customHeight="false" outlineLevel="0" collapsed="false">
      <c r="A17" s="17" t="s">
        <v>51</v>
      </c>
      <c r="B17" s="18"/>
      <c r="C17" s="19"/>
      <c r="D17" s="19"/>
      <c r="E17" s="20" t="str">
        <f aca="false">IF(OR(C17="",C17=0),"",D17/C17)</f>
        <v/>
      </c>
      <c r="F17" s="21" t="str">
        <f aca="false">IF(OR(D17="",D17=0),"",B17/D17)</f>
        <v/>
      </c>
      <c r="G17" s="19"/>
      <c r="H17" s="18"/>
      <c r="I17" s="21" t="str">
        <f aca="false">IF(OR(G17="",G17=0),"",B17/G17)</f>
        <v/>
      </c>
      <c r="J17" s="20" t="str">
        <f aca="false">IF(OR(D17="",D17=0),"",G17/D17)</f>
        <v/>
      </c>
      <c r="K17" s="22" t="str">
        <f aca="false">IF(OR(B17="",B17=0),"",H17/B17)</f>
        <v/>
      </c>
      <c r="L17" s="23"/>
    </row>
    <row r="18" customFormat="false" ht="15" hidden="false" customHeight="false" outlineLevel="0" collapsed="false">
      <c r="A18" s="17" t="s">
        <v>52</v>
      </c>
      <c r="B18" s="18"/>
      <c r="C18" s="19"/>
      <c r="D18" s="19"/>
      <c r="E18" s="20" t="str">
        <f aca="false">IF(OR(C18="",C18=0),"",D18/C18)</f>
        <v/>
      </c>
      <c r="F18" s="21" t="str">
        <f aca="false">IF(OR(D18="",D18=0),"",B18/D18)</f>
        <v/>
      </c>
      <c r="G18" s="19"/>
      <c r="H18" s="18"/>
      <c r="I18" s="21" t="str">
        <f aca="false">IF(OR(G18="",G18=0),"",B18/G18)</f>
        <v/>
      </c>
      <c r="J18" s="20" t="str">
        <f aca="false">IF(OR(D18="",D18=0),"",G18/D18)</f>
        <v/>
      </c>
      <c r="K18" s="22" t="str">
        <f aca="false">IF(OR(B18="",B18=0),"",H18/B18)</f>
        <v/>
      </c>
      <c r="L18" s="23"/>
    </row>
    <row r="19" customFormat="false" ht="15" hidden="false" customHeight="false" outlineLevel="0" collapsed="false">
      <c r="A19" s="17" t="s">
        <v>53</v>
      </c>
      <c r="B19" s="18"/>
      <c r="C19" s="19"/>
      <c r="D19" s="19"/>
      <c r="E19" s="20" t="str">
        <f aca="false">IF(OR(C19="",C19=0),"",D19/C19)</f>
        <v/>
      </c>
      <c r="F19" s="21" t="str">
        <f aca="false">IF(OR(D19="",D19=0),"",B19/D19)</f>
        <v/>
      </c>
      <c r="G19" s="19"/>
      <c r="H19" s="18"/>
      <c r="I19" s="21" t="str">
        <f aca="false">IF(OR(G19="",G19=0),"",B19/G19)</f>
        <v/>
      </c>
      <c r="J19" s="20" t="str">
        <f aca="false">IF(OR(D19="",D19=0),"",G19/D19)</f>
        <v/>
      </c>
      <c r="K19" s="22" t="str">
        <f aca="false">IF(OR(B19="",B19=0),"",H19/B19)</f>
        <v/>
      </c>
      <c r="L19" s="23"/>
    </row>
    <row r="20" customFormat="false" ht="15" hidden="false" customHeight="false" outlineLevel="0" collapsed="false">
      <c r="A20" s="17" t="s">
        <v>54</v>
      </c>
      <c r="B20" s="18"/>
      <c r="C20" s="19"/>
      <c r="D20" s="19"/>
      <c r="E20" s="20" t="str">
        <f aca="false">IF(OR(C20="",C20=0),"",D20/C20)</f>
        <v/>
      </c>
      <c r="F20" s="21" t="str">
        <f aca="false">IF(OR(D20="",D20=0),"",B20/D20)</f>
        <v/>
      </c>
      <c r="G20" s="19"/>
      <c r="H20" s="18"/>
      <c r="I20" s="21" t="str">
        <f aca="false">IF(OR(G20="",G20=0),"",B20/G20)</f>
        <v/>
      </c>
      <c r="J20" s="20" t="str">
        <f aca="false">IF(OR(D20="",D20=0),"",G20/D20)</f>
        <v/>
      </c>
      <c r="K20" s="22" t="str">
        <f aca="false">IF(OR(B20="",B20=0),"",H20/B20)</f>
        <v/>
      </c>
      <c r="L20" s="23"/>
    </row>
    <row r="21" customFormat="false" ht="15" hidden="false" customHeight="false" outlineLevel="0" collapsed="false">
      <c r="A21" s="17" t="s">
        <v>55</v>
      </c>
      <c r="B21" s="18"/>
      <c r="C21" s="19"/>
      <c r="D21" s="19"/>
      <c r="E21" s="20" t="str">
        <f aca="false">IF(OR(C21="",C21=0),"",D21/C21)</f>
        <v/>
      </c>
      <c r="F21" s="21" t="str">
        <f aca="false">IF(OR(D21="",D21=0),"",B21/D21)</f>
        <v/>
      </c>
      <c r="G21" s="19"/>
      <c r="H21" s="18"/>
      <c r="I21" s="21" t="str">
        <f aca="false">IF(OR(G21="",G21=0),"",B21/G21)</f>
        <v/>
      </c>
      <c r="J21" s="20" t="str">
        <f aca="false">IF(OR(D21="",D21=0),"",G21/D21)</f>
        <v/>
      </c>
      <c r="K21" s="22" t="str">
        <f aca="false">IF(OR(B21="",B21=0),"",H21/B21)</f>
        <v/>
      </c>
      <c r="L21" s="23"/>
    </row>
    <row r="22" customFormat="false" ht="15" hidden="false" customHeight="false" outlineLevel="0" collapsed="false">
      <c r="A22" s="17" t="s">
        <v>56</v>
      </c>
      <c r="B22" s="18"/>
      <c r="C22" s="19"/>
      <c r="D22" s="19"/>
      <c r="E22" s="20" t="str">
        <f aca="false">IF(OR(C22="",C22=0),"",D22/C22)</f>
        <v/>
      </c>
      <c r="F22" s="21" t="str">
        <f aca="false">IF(OR(D22="",D22=0),"",B22/D22)</f>
        <v/>
      </c>
      <c r="G22" s="19"/>
      <c r="H22" s="18"/>
      <c r="I22" s="21" t="str">
        <f aca="false">IF(OR(G22="",G22=0),"",B22/G22)</f>
        <v/>
      </c>
      <c r="J22" s="20" t="str">
        <f aca="false">IF(OR(D22="",D22=0),"",G22/D22)</f>
        <v/>
      </c>
      <c r="K22" s="22" t="str">
        <f aca="false">IF(OR(B22="",B22=0),"",H22/B22)</f>
        <v/>
      </c>
      <c r="L22" s="23"/>
    </row>
    <row r="23" customFormat="false" ht="15" hidden="false" customHeight="false" outlineLevel="0" collapsed="false">
      <c r="A23" s="17" t="s">
        <v>57</v>
      </c>
      <c r="B23" s="18"/>
      <c r="C23" s="19"/>
      <c r="D23" s="19"/>
      <c r="E23" s="20" t="str">
        <f aca="false">IF(OR(C23="",C23=0),"",D23/C23)</f>
        <v/>
      </c>
      <c r="F23" s="21" t="str">
        <f aca="false">IF(OR(D23="",D23=0),"",B23/D23)</f>
        <v/>
      </c>
      <c r="G23" s="19"/>
      <c r="H23" s="18"/>
      <c r="I23" s="21" t="str">
        <f aca="false">IF(OR(G23="",G23=0),"",B23/G23)</f>
        <v/>
      </c>
      <c r="J23" s="20" t="str">
        <f aca="false">IF(OR(D23="",D23=0),"",G23/D23)</f>
        <v/>
      </c>
      <c r="K23" s="22" t="str">
        <f aca="false">IF(OR(B23="",B23=0),"",H23/B23)</f>
        <v/>
      </c>
      <c r="L23" s="23"/>
    </row>
    <row r="24" customFormat="false" ht="15" hidden="false" customHeight="false" outlineLevel="0" collapsed="false">
      <c r="A24" s="17" t="s">
        <v>58</v>
      </c>
      <c r="B24" s="18"/>
      <c r="C24" s="19"/>
      <c r="D24" s="19"/>
      <c r="E24" s="20" t="str">
        <f aca="false">IF(OR(C24="",C24=0),"",D24/C24)</f>
        <v/>
      </c>
      <c r="F24" s="21" t="str">
        <f aca="false">IF(OR(D24="",D24=0),"",B24/D24)</f>
        <v/>
      </c>
      <c r="G24" s="19"/>
      <c r="H24" s="18"/>
      <c r="I24" s="21" t="str">
        <f aca="false">IF(OR(G24="",G24=0),"",B24/G24)</f>
        <v/>
      </c>
      <c r="J24" s="20" t="str">
        <f aca="false">IF(OR(D24="",D24=0),"",G24/D24)</f>
        <v/>
      </c>
      <c r="K24" s="22" t="str">
        <f aca="false">IF(OR(B24="",B24=0),"",H24/B24)</f>
        <v/>
      </c>
      <c r="L24" s="23"/>
    </row>
    <row r="25" customFormat="false" ht="15" hidden="false" customHeight="false" outlineLevel="0" collapsed="false">
      <c r="A25" s="17" t="s">
        <v>59</v>
      </c>
      <c r="B25" s="18"/>
      <c r="C25" s="19"/>
      <c r="D25" s="19"/>
      <c r="E25" s="20" t="str">
        <f aca="false">IF(OR(C25="",C25=0),"",D25/C25)</f>
        <v/>
      </c>
      <c r="F25" s="21" t="str">
        <f aca="false">IF(OR(D25="",D25=0),"",B25/D25)</f>
        <v/>
      </c>
      <c r="G25" s="19"/>
      <c r="H25" s="18"/>
      <c r="I25" s="21" t="str">
        <f aca="false">IF(OR(G25="",G25=0),"",B25/G25)</f>
        <v/>
      </c>
      <c r="J25" s="20" t="str">
        <f aca="false">IF(OR(D25="",D25=0),"",G25/D25)</f>
        <v/>
      </c>
      <c r="K25" s="22" t="str">
        <f aca="false">IF(OR(B25="",B25=0),"",H25/B25)</f>
        <v/>
      </c>
      <c r="L25" s="23"/>
    </row>
    <row r="26" customFormat="false" ht="15" hidden="false" customHeight="false" outlineLevel="0" collapsed="false">
      <c r="A26" s="17" t="s">
        <v>60</v>
      </c>
      <c r="B26" s="18"/>
      <c r="C26" s="19"/>
      <c r="D26" s="19"/>
      <c r="E26" s="20" t="str">
        <f aca="false">IF(OR(C26="",C26=0),"",D26/C26)</f>
        <v/>
      </c>
      <c r="F26" s="21" t="str">
        <f aca="false">IF(OR(D26="",D26=0),"",B26/D26)</f>
        <v/>
      </c>
      <c r="G26" s="19"/>
      <c r="H26" s="18"/>
      <c r="I26" s="21" t="str">
        <f aca="false">IF(OR(G26="",G26=0),"",B26/G26)</f>
        <v/>
      </c>
      <c r="J26" s="20" t="str">
        <f aca="false">IF(OR(D26="",D26=0),"",G26/D26)</f>
        <v/>
      </c>
      <c r="K26" s="22" t="str">
        <f aca="false">IF(OR(B26="",B26=0),"",H26/B26)</f>
        <v/>
      </c>
      <c r="L26" s="23"/>
    </row>
    <row r="27" customFormat="false" ht="15" hidden="false" customHeight="false" outlineLevel="0" collapsed="false">
      <c r="A27" s="17" t="s">
        <v>61</v>
      </c>
      <c r="B27" s="18"/>
      <c r="C27" s="19"/>
      <c r="D27" s="19"/>
      <c r="E27" s="20" t="str">
        <f aca="false">IF(OR(C27="",C27=0),"",D27/C27)</f>
        <v/>
      </c>
      <c r="F27" s="21" t="str">
        <f aca="false">IF(OR(D27="",D27=0),"",B27/D27)</f>
        <v/>
      </c>
      <c r="G27" s="19"/>
      <c r="H27" s="18"/>
      <c r="I27" s="21" t="str">
        <f aca="false">IF(OR(G27="",G27=0),"",B27/G27)</f>
        <v/>
      </c>
      <c r="J27" s="20" t="str">
        <f aca="false">IF(OR(D27="",D27=0),"",G27/D27)</f>
        <v/>
      </c>
      <c r="K27" s="22" t="str">
        <f aca="false">IF(OR(B27="",B27=0),"",H27/B27)</f>
        <v/>
      </c>
      <c r="L27" s="23"/>
    </row>
    <row r="28" customFormat="false" ht="15" hidden="false" customHeight="false" outlineLevel="0" collapsed="false">
      <c r="A28" s="17" t="s">
        <v>62</v>
      </c>
      <c r="B28" s="18"/>
      <c r="C28" s="19"/>
      <c r="D28" s="19"/>
      <c r="E28" s="20" t="str">
        <f aca="false">IF(OR(C28="",C28=0),"",D28/C28)</f>
        <v/>
      </c>
      <c r="F28" s="21" t="str">
        <f aca="false">IF(OR(D28="",D28=0),"",B28/D28)</f>
        <v/>
      </c>
      <c r="G28" s="19"/>
      <c r="H28" s="18"/>
      <c r="I28" s="21" t="str">
        <f aca="false">IF(OR(G28="",G28=0),"",B28/G28)</f>
        <v/>
      </c>
      <c r="J28" s="20" t="str">
        <f aca="false">IF(OR(D28="",D28=0),"",G28/D28)</f>
        <v/>
      </c>
      <c r="K28" s="22" t="str">
        <f aca="false">IF(OR(B28="",B28=0),"",H28/B28)</f>
        <v/>
      </c>
      <c r="L28" s="23"/>
    </row>
    <row r="30" customFormat="false" ht="45.75" hidden="false" customHeight="true" outlineLevel="0" collapsed="false">
      <c r="A30" s="16" t="s">
        <v>63</v>
      </c>
      <c r="B30" s="16"/>
      <c r="C30" s="16"/>
      <c r="D30" s="16"/>
      <c r="E30" s="16"/>
      <c r="F30" s="16"/>
      <c r="G30" s="16"/>
      <c r="H30" s="16"/>
      <c r="I30" s="16"/>
      <c r="J30" s="16"/>
      <c r="K30" s="16"/>
      <c r="L30" s="16"/>
    </row>
    <row r="31" customFormat="false" ht="15" hidden="false" customHeight="false" outlineLevel="0" collapsed="false">
      <c r="A31" s="16"/>
      <c r="B31" s="16"/>
      <c r="C31" s="16"/>
      <c r="D31" s="16"/>
      <c r="E31" s="16"/>
      <c r="F31" s="16"/>
      <c r="G31" s="16"/>
      <c r="H31" s="16"/>
      <c r="I31" s="16"/>
      <c r="J31" s="16"/>
      <c r="K31" s="16"/>
      <c r="L31" s="16"/>
    </row>
    <row r="32" customFormat="false" ht="15" hidden="false" customHeight="false" outlineLevel="0" collapsed="false">
      <c r="A32" s="16"/>
      <c r="B32" s="16"/>
      <c r="C32" s="16"/>
      <c r="D32" s="16"/>
      <c r="E32" s="16"/>
      <c r="F32" s="16"/>
      <c r="G32" s="16"/>
      <c r="H32" s="16"/>
      <c r="I32" s="16"/>
      <c r="J32" s="16"/>
      <c r="K32" s="16"/>
      <c r="L32" s="16"/>
    </row>
  </sheetData>
  <autoFilter ref="A4:L28"/>
  <mergeCells count="3">
    <mergeCell ref="A1:L1"/>
    <mergeCell ref="A2:L2"/>
    <mergeCell ref="A30:L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A651"/>
    <pageSetUpPr fitToPage="false"/>
  </sheetPr>
  <dimension ref="A1:Q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2"/>
    <col collapsed="false" customWidth="true" hidden="false" outlineLevel="0" max="3" min="3" style="0" width="10"/>
    <col collapsed="false" customWidth="true" hidden="false" outlineLevel="0" max="4" min="4" style="0" width="12"/>
    <col collapsed="false" customWidth="true" hidden="false" outlineLevel="0" max="5" min="5" style="0" width="10"/>
    <col collapsed="false" customWidth="true" hidden="false" outlineLevel="0" max="6" min="6" style="0" width="12"/>
    <col collapsed="false" customWidth="true" hidden="false" outlineLevel="0" max="7" min="7" style="0" width="10"/>
    <col collapsed="false" customWidth="true" hidden="false" outlineLevel="0" max="8" min="8" style="0" width="12"/>
    <col collapsed="false" customWidth="true" hidden="false" outlineLevel="0" max="9" min="9" style="0" width="10"/>
    <col collapsed="false" customWidth="true" hidden="false" outlineLevel="0" max="10" min="10" style="0" width="12"/>
    <col collapsed="false" customWidth="true" hidden="false" outlineLevel="0" max="11" min="11" style="0" width="10"/>
    <col collapsed="false" customWidth="true" hidden="false" outlineLevel="0" max="12" min="12" style="0" width="12"/>
    <col collapsed="false" customWidth="true" hidden="false" outlineLevel="0" max="13" min="13" style="0" width="10"/>
    <col collapsed="false" customWidth="true" hidden="false" outlineLevel="0" max="14" min="14" style="0" width="12"/>
    <col collapsed="false" customWidth="true" hidden="false" outlineLevel="0" max="15" min="15" style="0" width="10"/>
    <col collapsed="false" customWidth="true" hidden="false" outlineLevel="0" max="16" min="16" style="0" width="12"/>
    <col collapsed="false" customWidth="true" hidden="false" outlineLevel="0" max="17" min="17" style="0" width="10"/>
  </cols>
  <sheetData>
    <row r="1" customFormat="false" ht="30" hidden="false" customHeight="true" outlineLevel="0" collapsed="false">
      <c r="A1" s="1" t="s">
        <v>64</v>
      </c>
      <c r="B1" s="1"/>
      <c r="C1" s="1"/>
      <c r="D1" s="1"/>
      <c r="E1" s="1"/>
      <c r="F1" s="1"/>
      <c r="G1" s="1"/>
      <c r="H1" s="1"/>
      <c r="I1" s="1"/>
      <c r="J1" s="1"/>
      <c r="K1" s="1"/>
      <c r="L1" s="1"/>
      <c r="M1" s="1"/>
      <c r="N1" s="1"/>
      <c r="O1" s="1"/>
      <c r="P1" s="1"/>
      <c r="Q1" s="1"/>
    </row>
    <row r="2" customFormat="false" ht="18" hidden="false" customHeight="true" outlineLevel="0" collapsed="false">
      <c r="A2" s="2" t="s">
        <v>65</v>
      </c>
      <c r="B2" s="2"/>
      <c r="C2" s="2"/>
      <c r="D2" s="2"/>
      <c r="E2" s="2"/>
      <c r="F2" s="2"/>
      <c r="G2" s="2"/>
      <c r="H2" s="2"/>
      <c r="I2" s="2"/>
      <c r="J2" s="2"/>
      <c r="K2" s="2"/>
      <c r="L2" s="2"/>
      <c r="M2" s="2"/>
      <c r="N2" s="2"/>
      <c r="O2" s="2"/>
      <c r="P2" s="2"/>
      <c r="Q2" s="2"/>
    </row>
    <row r="4" customFormat="false" ht="18" hidden="false" customHeight="true" outlineLevel="0" collapsed="false">
      <c r="A4" s="24" t="s">
        <v>37</v>
      </c>
      <c r="B4" s="24" t="s">
        <v>25</v>
      </c>
      <c r="C4" s="24"/>
      <c r="D4" s="24" t="s">
        <v>26</v>
      </c>
      <c r="E4" s="24"/>
      <c r="F4" s="24" t="s">
        <v>27</v>
      </c>
      <c r="G4" s="24"/>
      <c r="H4" s="24" t="s">
        <v>28</v>
      </c>
      <c r="I4" s="24"/>
      <c r="J4" s="24" t="s">
        <v>29</v>
      </c>
      <c r="K4" s="24"/>
      <c r="L4" s="24" t="s">
        <v>30</v>
      </c>
      <c r="M4" s="24"/>
      <c r="N4" s="24" t="s">
        <v>39</v>
      </c>
      <c r="O4" s="24"/>
      <c r="P4" s="24" t="s">
        <v>32</v>
      </c>
      <c r="Q4" s="24"/>
    </row>
    <row r="5" customFormat="false" ht="19.5" hidden="false" customHeight="true" outlineLevel="0" collapsed="false">
      <c r="A5" s="24"/>
      <c r="B5" s="24" t="s">
        <v>66</v>
      </c>
      <c r="C5" s="24" t="s">
        <v>67</v>
      </c>
      <c r="D5" s="24" t="s">
        <v>66</v>
      </c>
      <c r="E5" s="24" t="s">
        <v>67</v>
      </c>
      <c r="F5" s="24" t="s">
        <v>66</v>
      </c>
      <c r="G5" s="24" t="s">
        <v>68</v>
      </c>
      <c r="H5" s="24" t="s">
        <v>66</v>
      </c>
      <c r="I5" s="24" t="s">
        <v>67</v>
      </c>
      <c r="J5" s="24" t="s">
        <v>66</v>
      </c>
      <c r="K5" s="24" t="s">
        <v>67</v>
      </c>
      <c r="L5" s="24" t="s">
        <v>66</v>
      </c>
      <c r="M5" s="24" t="s">
        <v>67</v>
      </c>
      <c r="N5" s="24" t="s">
        <v>66</v>
      </c>
      <c r="O5" s="24" t="s">
        <v>67</v>
      </c>
      <c r="P5" s="24" t="s">
        <v>66</v>
      </c>
      <c r="Q5" s="24" t="s">
        <v>67</v>
      </c>
    </row>
    <row r="6" customFormat="false" ht="15" hidden="false" customHeight="false" outlineLevel="0" collapsed="false">
      <c r="A6" s="25" t="str">
        <f aca="false">'Account Summary'!A5</f>
        <v>Month 1</v>
      </c>
      <c r="B6" s="26" t="n">
        <f aca="false">IF('Account Summary'!B5="","",'Account Summary'!B5)</f>
        <v>4200</v>
      </c>
      <c r="C6" s="12" t="str">
        <f aca="false">"n/a"</f>
        <v>n/a</v>
      </c>
      <c r="D6" s="13" t="n">
        <f aca="false">IF('Account Summary'!D5="","",'Account Summary'!D5)</f>
        <v>9500</v>
      </c>
      <c r="E6" s="12" t="str">
        <f aca="false">"n/a"</f>
        <v>n/a</v>
      </c>
      <c r="F6" s="14" t="n">
        <f aca="false">IF('Account Summary'!E5="","",'Account Summary'!E5)</f>
        <v>0.025</v>
      </c>
      <c r="G6" s="27" t="str">
        <f aca="false">"n/a"</f>
        <v>n/a</v>
      </c>
      <c r="H6" s="11" t="n">
        <f aca="false">IF('Account Summary'!F5="","",'Account Summary'!F5)</f>
        <v>0.442105263157895</v>
      </c>
      <c r="I6" s="12" t="str">
        <f aca="false">"n/a"</f>
        <v>n/a</v>
      </c>
      <c r="J6" s="13" t="n">
        <f aca="false">IF('Account Summary'!G5="","",'Account Summary'!G5)</f>
        <v>60</v>
      </c>
      <c r="K6" s="12" t="str">
        <f aca="false">"n/a"</f>
        <v>n/a</v>
      </c>
      <c r="L6" s="11" t="n">
        <f aca="false">IF('Account Summary'!I5="","",'Account Summary'!I5)</f>
        <v>70</v>
      </c>
      <c r="M6" s="12" t="str">
        <f aca="false">"n/a"</f>
        <v>n/a</v>
      </c>
      <c r="N6" s="26" t="n">
        <f aca="false">IF('Account Summary'!H5="","",'Account Summary'!H5)</f>
        <v>15000</v>
      </c>
      <c r="O6" s="12" t="str">
        <f aca="false">"n/a"</f>
        <v>n/a</v>
      </c>
      <c r="P6" s="15" t="n">
        <f aca="false">IF('Account Summary'!K5="","",'Account Summary'!K5)</f>
        <v>3.57142857142857</v>
      </c>
      <c r="Q6" s="12" t="str">
        <f aca="false">"n/a"</f>
        <v>n/a</v>
      </c>
    </row>
    <row r="7" customFormat="false" ht="15" hidden="false" customHeight="false" outlineLevel="0" collapsed="false">
      <c r="A7" s="25" t="str">
        <f aca="false">'Account Summary'!A6</f>
        <v>Month 2</v>
      </c>
      <c r="B7" s="26" t="n">
        <f aca="false">IF('Account Summary'!B6="","",'Account Summary'!B6)</f>
        <v>5100</v>
      </c>
      <c r="C7" s="12" t="n">
        <f aca="false">IF(OR('Account Summary'!B6="",'Account Summary'!B5="",'Account Summary'!B5=0),"",('Account Summary'!B6-'Account Summary'!B5)/'Account Summary'!B5)</f>
        <v>0.214285714285714</v>
      </c>
      <c r="D7" s="13" t="n">
        <f aca="false">IF('Account Summary'!D6="","",'Account Summary'!D6)</f>
        <v>10200</v>
      </c>
      <c r="E7" s="12" t="n">
        <f aca="false">IF(OR('Account Summary'!D6="",'Account Summary'!D5="",'Account Summary'!D5=0),"",('Account Summary'!D6-'Account Summary'!D5)/'Account Summary'!D5)</f>
        <v>0.0736842105263158</v>
      </c>
      <c r="F7" s="14" t="n">
        <f aca="false">IF('Account Summary'!E6="","",'Account Summary'!E6)</f>
        <v>0.0248780487804878</v>
      </c>
      <c r="G7" s="27" t="n">
        <f aca="false">IF(OR('Account Summary'!E6="",'Account Summary'!E5=""),"",'Account Summary'!E6-'Account Summary'!E5)</f>
        <v>-0.000121951219512195</v>
      </c>
      <c r="H7" s="11" t="n">
        <f aca="false">IF('Account Summary'!F6="","",'Account Summary'!F6)</f>
        <v>0.5</v>
      </c>
      <c r="I7" s="12" t="n">
        <f aca="false">IF(OR('Account Summary'!F6="",'Account Summary'!F5="",'Account Summary'!F5=0),"",('Account Summary'!F6-'Account Summary'!F5)/'Account Summary'!F5)</f>
        <v>0.130952380952381</v>
      </c>
      <c r="J7" s="13" t="n">
        <f aca="false">IF('Account Summary'!G6="","",'Account Summary'!G6)</f>
        <v>78</v>
      </c>
      <c r="K7" s="12" t="n">
        <f aca="false">IF(OR('Account Summary'!G6="",'Account Summary'!G5="",'Account Summary'!G5=0),"",('Account Summary'!G6-'Account Summary'!G5)/'Account Summary'!G5)</f>
        <v>0.3</v>
      </c>
      <c r="L7" s="11" t="n">
        <f aca="false">IF('Account Summary'!I6="","",'Account Summary'!I6)</f>
        <v>65.3846153846154</v>
      </c>
      <c r="M7" s="12" t="n">
        <f aca="false">IF(OR('Account Summary'!I6="",'Account Summary'!I5="",'Account Summary'!I5=0),"",('Account Summary'!I6-'Account Summary'!I5)/'Account Summary'!I5)</f>
        <v>-0.0659340659340659</v>
      </c>
      <c r="N7" s="26" t="n">
        <f aca="false">IF('Account Summary'!H6="","",'Account Summary'!H6)</f>
        <v>21000</v>
      </c>
      <c r="O7" s="12" t="n">
        <f aca="false">IF(OR('Account Summary'!H6="",'Account Summary'!H5="",'Account Summary'!H5=0),"",('Account Summary'!H6-'Account Summary'!H5)/'Account Summary'!H5)</f>
        <v>0.4</v>
      </c>
      <c r="P7" s="15" t="n">
        <f aca="false">IF('Account Summary'!K6="","",'Account Summary'!K6)</f>
        <v>4.11764705882353</v>
      </c>
      <c r="Q7" s="12" t="n">
        <f aca="false">IF(OR('Account Summary'!K6="",'Account Summary'!K5="",'Account Summary'!K5=0),"",('Account Summary'!K6-'Account Summary'!K5)/'Account Summary'!K5)</f>
        <v>0.152941176470588</v>
      </c>
    </row>
    <row r="8" customFormat="false" ht="15" hidden="false" customHeight="false" outlineLevel="0" collapsed="false">
      <c r="A8" s="25" t="str">
        <f aca="false">'Account Summary'!A7</f>
        <v>Month 3</v>
      </c>
      <c r="B8" s="26" t="n">
        <f aca="false">IF('Account Summary'!B7="","",'Account Summary'!B7)</f>
        <v>6300</v>
      </c>
      <c r="C8" s="12" t="n">
        <f aca="false">IF(OR('Account Summary'!B7="",'Account Summary'!B6="",'Account Summary'!B6=0),"",('Account Summary'!B7-'Account Summary'!B6)/'Account Summary'!B6)</f>
        <v>0.235294117647059</v>
      </c>
      <c r="D8" s="13" t="n">
        <f aca="false">IF('Account Summary'!D7="","",'Account Summary'!D7)</f>
        <v>11800</v>
      </c>
      <c r="E8" s="12" t="n">
        <f aca="false">IF(OR('Account Summary'!D7="",'Account Summary'!D6="",'Account Summary'!D6=0),"",('Account Summary'!D7-'Account Summary'!D6)/'Account Summary'!D6)</f>
        <v>0.156862745098039</v>
      </c>
      <c r="F8" s="14" t="n">
        <f aca="false">IF('Account Summary'!E7="","",'Account Summary'!E7)</f>
        <v>0.0259340659340659</v>
      </c>
      <c r="G8" s="27" t="n">
        <f aca="false">IF(OR('Account Summary'!E7="",'Account Summary'!E6=""),"",'Account Summary'!E7-'Account Summary'!E6)</f>
        <v>0.00105601715357813</v>
      </c>
      <c r="H8" s="11" t="n">
        <f aca="false">IF('Account Summary'!F7="","",'Account Summary'!F7)</f>
        <v>0.533898305084746</v>
      </c>
      <c r="I8" s="12" t="n">
        <f aca="false">IF(OR('Account Summary'!F7="",'Account Summary'!F6="",'Account Summary'!F6=0),"",('Account Summary'!F7-'Account Summary'!F6)/'Account Summary'!F6)</f>
        <v>0.0677966101694916</v>
      </c>
      <c r="J8" s="13" t="n">
        <f aca="false">IF('Account Summary'!G7="","",'Account Summary'!G7)</f>
        <v>96</v>
      </c>
      <c r="K8" s="12" t="n">
        <f aca="false">IF(OR('Account Summary'!G7="",'Account Summary'!G6="",'Account Summary'!G6=0),"",('Account Summary'!G7-'Account Summary'!G6)/'Account Summary'!G6)</f>
        <v>0.230769230769231</v>
      </c>
      <c r="L8" s="11" t="n">
        <f aca="false">IF('Account Summary'!I7="","",'Account Summary'!I7)</f>
        <v>65.625</v>
      </c>
      <c r="M8" s="12" t="n">
        <f aca="false">IF(OR('Account Summary'!I7="",'Account Summary'!I6="",'Account Summary'!I6=0),"",('Account Summary'!I7-'Account Summary'!I6)/'Account Summary'!I6)</f>
        <v>0.00367647058823526</v>
      </c>
      <c r="N8" s="26" t="n">
        <f aca="false">IF('Account Summary'!H7="","",'Account Summary'!H7)</f>
        <v>27000</v>
      </c>
      <c r="O8" s="12" t="n">
        <f aca="false">IF(OR('Account Summary'!H7="",'Account Summary'!H6="",'Account Summary'!H6=0),"",('Account Summary'!H7-'Account Summary'!H6)/'Account Summary'!H6)</f>
        <v>0.285714285714286</v>
      </c>
      <c r="P8" s="15" t="n">
        <f aca="false">IF('Account Summary'!K7="","",'Account Summary'!K7)</f>
        <v>4.28571428571429</v>
      </c>
      <c r="Q8" s="12" t="n">
        <f aca="false">IF(OR('Account Summary'!K7="",'Account Summary'!K6="",'Account Summary'!K6=0),"",('Account Summary'!K7-'Account Summary'!K6)/'Account Summary'!K6)</f>
        <v>0.0408163265306123</v>
      </c>
    </row>
    <row r="9" customFormat="false" ht="15" hidden="false" customHeight="false" outlineLevel="0" collapsed="false">
      <c r="A9" s="25" t="str">
        <f aca="false">'Account Summary'!A8</f>
        <v>Month 4</v>
      </c>
      <c r="B9" s="26" t="str">
        <f aca="false">IF('Account Summary'!B8="","",'Account Summary'!B8)</f>
        <v/>
      </c>
      <c r="C9" s="12" t="str">
        <f aca="false">IF(OR('Account Summary'!B8="",'Account Summary'!B7="",'Account Summary'!B7=0),"",('Account Summary'!B8-'Account Summary'!B7)/'Account Summary'!B7)</f>
        <v/>
      </c>
      <c r="D9" s="13" t="str">
        <f aca="false">IF('Account Summary'!D8="","",'Account Summary'!D8)</f>
        <v/>
      </c>
      <c r="E9" s="12" t="str">
        <f aca="false">IF(OR('Account Summary'!D8="",'Account Summary'!D7="",'Account Summary'!D7=0),"",('Account Summary'!D8-'Account Summary'!D7)/'Account Summary'!D7)</f>
        <v/>
      </c>
      <c r="F9" s="14" t="str">
        <f aca="false">IF('Account Summary'!E8="","",'Account Summary'!E8)</f>
        <v/>
      </c>
      <c r="G9" s="27" t="str">
        <f aca="false">IF(OR('Account Summary'!E8="",'Account Summary'!E7=""),"",'Account Summary'!E8-'Account Summary'!E7)</f>
        <v/>
      </c>
      <c r="H9" s="11" t="str">
        <f aca="false">IF('Account Summary'!F8="","",'Account Summary'!F8)</f>
        <v/>
      </c>
      <c r="I9" s="12" t="str">
        <f aca="false">IF(OR('Account Summary'!F8="",'Account Summary'!F7="",'Account Summary'!F7=0),"",('Account Summary'!F8-'Account Summary'!F7)/'Account Summary'!F7)</f>
        <v/>
      </c>
      <c r="J9" s="13" t="str">
        <f aca="false">IF('Account Summary'!G8="","",'Account Summary'!G8)</f>
        <v/>
      </c>
      <c r="K9" s="12" t="str">
        <f aca="false">IF(OR('Account Summary'!G8="",'Account Summary'!G7="",'Account Summary'!G7=0),"",('Account Summary'!G8-'Account Summary'!G7)/'Account Summary'!G7)</f>
        <v/>
      </c>
      <c r="L9" s="11" t="str">
        <f aca="false">IF('Account Summary'!I8="","",'Account Summary'!I8)</f>
        <v/>
      </c>
      <c r="M9" s="12" t="str">
        <f aca="false">IF(OR('Account Summary'!I8="",'Account Summary'!I7="",'Account Summary'!I7=0),"",('Account Summary'!I8-'Account Summary'!I7)/'Account Summary'!I7)</f>
        <v/>
      </c>
      <c r="N9" s="26" t="str">
        <f aca="false">IF('Account Summary'!H8="","",'Account Summary'!H8)</f>
        <v/>
      </c>
      <c r="O9" s="12" t="str">
        <f aca="false">IF(OR('Account Summary'!H8="",'Account Summary'!H7="",'Account Summary'!H7=0),"",('Account Summary'!H8-'Account Summary'!H7)/'Account Summary'!H7)</f>
        <v/>
      </c>
      <c r="P9" s="15" t="str">
        <f aca="false">IF('Account Summary'!K8="","",'Account Summary'!K8)</f>
        <v/>
      </c>
      <c r="Q9" s="12" t="str">
        <f aca="false">IF(OR('Account Summary'!K8="",'Account Summary'!K7="",'Account Summary'!K7=0),"",('Account Summary'!K8-'Account Summary'!K7)/'Account Summary'!K7)</f>
        <v/>
      </c>
    </row>
    <row r="10" customFormat="false" ht="15" hidden="false" customHeight="false" outlineLevel="0" collapsed="false">
      <c r="A10" s="25" t="str">
        <f aca="false">'Account Summary'!A9</f>
        <v>Month 5</v>
      </c>
      <c r="B10" s="26" t="str">
        <f aca="false">IF('Account Summary'!B9="","",'Account Summary'!B9)</f>
        <v/>
      </c>
      <c r="C10" s="12" t="str">
        <f aca="false">IF(OR('Account Summary'!B9="",'Account Summary'!B8="",'Account Summary'!B8=0),"",('Account Summary'!B9-'Account Summary'!B8)/'Account Summary'!B8)</f>
        <v/>
      </c>
      <c r="D10" s="13" t="str">
        <f aca="false">IF('Account Summary'!D9="","",'Account Summary'!D9)</f>
        <v/>
      </c>
      <c r="E10" s="12" t="str">
        <f aca="false">IF(OR('Account Summary'!D9="",'Account Summary'!D8="",'Account Summary'!D8=0),"",('Account Summary'!D9-'Account Summary'!D8)/'Account Summary'!D8)</f>
        <v/>
      </c>
      <c r="F10" s="14" t="str">
        <f aca="false">IF('Account Summary'!E9="","",'Account Summary'!E9)</f>
        <v/>
      </c>
      <c r="G10" s="27" t="str">
        <f aca="false">IF(OR('Account Summary'!E9="",'Account Summary'!E8=""),"",'Account Summary'!E9-'Account Summary'!E8)</f>
        <v/>
      </c>
      <c r="H10" s="11" t="str">
        <f aca="false">IF('Account Summary'!F9="","",'Account Summary'!F9)</f>
        <v/>
      </c>
      <c r="I10" s="12" t="str">
        <f aca="false">IF(OR('Account Summary'!F9="",'Account Summary'!F8="",'Account Summary'!F8=0),"",('Account Summary'!F9-'Account Summary'!F8)/'Account Summary'!F8)</f>
        <v/>
      </c>
      <c r="J10" s="13" t="str">
        <f aca="false">IF('Account Summary'!G9="","",'Account Summary'!G9)</f>
        <v/>
      </c>
      <c r="K10" s="12" t="str">
        <f aca="false">IF(OR('Account Summary'!G9="",'Account Summary'!G8="",'Account Summary'!G8=0),"",('Account Summary'!G9-'Account Summary'!G8)/'Account Summary'!G8)</f>
        <v/>
      </c>
      <c r="L10" s="11" t="str">
        <f aca="false">IF('Account Summary'!I9="","",'Account Summary'!I9)</f>
        <v/>
      </c>
      <c r="M10" s="12" t="str">
        <f aca="false">IF(OR('Account Summary'!I9="",'Account Summary'!I8="",'Account Summary'!I8=0),"",('Account Summary'!I9-'Account Summary'!I8)/'Account Summary'!I8)</f>
        <v/>
      </c>
      <c r="N10" s="26" t="str">
        <f aca="false">IF('Account Summary'!H9="","",'Account Summary'!H9)</f>
        <v/>
      </c>
      <c r="O10" s="12" t="str">
        <f aca="false">IF(OR('Account Summary'!H9="",'Account Summary'!H8="",'Account Summary'!H8=0),"",('Account Summary'!H9-'Account Summary'!H8)/'Account Summary'!H8)</f>
        <v/>
      </c>
      <c r="P10" s="15" t="str">
        <f aca="false">IF('Account Summary'!K9="","",'Account Summary'!K9)</f>
        <v/>
      </c>
      <c r="Q10" s="12" t="str">
        <f aca="false">IF(OR('Account Summary'!K9="",'Account Summary'!K8="",'Account Summary'!K8=0),"",('Account Summary'!K9-'Account Summary'!K8)/'Account Summary'!K8)</f>
        <v/>
      </c>
    </row>
    <row r="11" customFormat="false" ht="15" hidden="false" customHeight="false" outlineLevel="0" collapsed="false">
      <c r="A11" s="25" t="str">
        <f aca="false">'Account Summary'!A10</f>
        <v>Month 6</v>
      </c>
      <c r="B11" s="26" t="str">
        <f aca="false">IF('Account Summary'!B10="","",'Account Summary'!B10)</f>
        <v/>
      </c>
      <c r="C11" s="12" t="str">
        <f aca="false">IF(OR('Account Summary'!B10="",'Account Summary'!B9="",'Account Summary'!B9=0),"",('Account Summary'!B10-'Account Summary'!B9)/'Account Summary'!B9)</f>
        <v/>
      </c>
      <c r="D11" s="13" t="str">
        <f aca="false">IF('Account Summary'!D10="","",'Account Summary'!D10)</f>
        <v/>
      </c>
      <c r="E11" s="12" t="str">
        <f aca="false">IF(OR('Account Summary'!D10="",'Account Summary'!D9="",'Account Summary'!D9=0),"",('Account Summary'!D10-'Account Summary'!D9)/'Account Summary'!D9)</f>
        <v/>
      </c>
      <c r="F11" s="14" t="str">
        <f aca="false">IF('Account Summary'!E10="","",'Account Summary'!E10)</f>
        <v/>
      </c>
      <c r="G11" s="27" t="str">
        <f aca="false">IF(OR('Account Summary'!E10="",'Account Summary'!E9=""),"",'Account Summary'!E10-'Account Summary'!E9)</f>
        <v/>
      </c>
      <c r="H11" s="11" t="str">
        <f aca="false">IF('Account Summary'!F10="","",'Account Summary'!F10)</f>
        <v/>
      </c>
      <c r="I11" s="12" t="str">
        <f aca="false">IF(OR('Account Summary'!F10="",'Account Summary'!F9="",'Account Summary'!F9=0),"",('Account Summary'!F10-'Account Summary'!F9)/'Account Summary'!F9)</f>
        <v/>
      </c>
      <c r="J11" s="13" t="str">
        <f aca="false">IF('Account Summary'!G10="","",'Account Summary'!G10)</f>
        <v/>
      </c>
      <c r="K11" s="12" t="str">
        <f aca="false">IF(OR('Account Summary'!G10="",'Account Summary'!G9="",'Account Summary'!G9=0),"",('Account Summary'!G10-'Account Summary'!G9)/'Account Summary'!G9)</f>
        <v/>
      </c>
      <c r="L11" s="11" t="str">
        <f aca="false">IF('Account Summary'!I10="","",'Account Summary'!I10)</f>
        <v/>
      </c>
      <c r="M11" s="12" t="str">
        <f aca="false">IF(OR('Account Summary'!I10="",'Account Summary'!I9="",'Account Summary'!I9=0),"",('Account Summary'!I10-'Account Summary'!I9)/'Account Summary'!I9)</f>
        <v/>
      </c>
      <c r="N11" s="26" t="str">
        <f aca="false">IF('Account Summary'!H10="","",'Account Summary'!H10)</f>
        <v/>
      </c>
      <c r="O11" s="12" t="str">
        <f aca="false">IF(OR('Account Summary'!H10="",'Account Summary'!H9="",'Account Summary'!H9=0),"",('Account Summary'!H10-'Account Summary'!H9)/'Account Summary'!H9)</f>
        <v/>
      </c>
      <c r="P11" s="15" t="str">
        <f aca="false">IF('Account Summary'!K10="","",'Account Summary'!K10)</f>
        <v/>
      </c>
      <c r="Q11" s="12" t="str">
        <f aca="false">IF(OR('Account Summary'!K10="",'Account Summary'!K9="",'Account Summary'!K9=0),"",('Account Summary'!K10-'Account Summary'!K9)/'Account Summary'!K9)</f>
        <v/>
      </c>
    </row>
    <row r="12" customFormat="false" ht="15" hidden="false" customHeight="false" outlineLevel="0" collapsed="false">
      <c r="A12" s="25" t="str">
        <f aca="false">'Account Summary'!A11</f>
        <v>Month 7</v>
      </c>
      <c r="B12" s="26" t="str">
        <f aca="false">IF('Account Summary'!B11="","",'Account Summary'!B11)</f>
        <v/>
      </c>
      <c r="C12" s="12" t="str">
        <f aca="false">IF(OR('Account Summary'!B11="",'Account Summary'!B10="",'Account Summary'!B10=0),"",('Account Summary'!B11-'Account Summary'!B10)/'Account Summary'!B10)</f>
        <v/>
      </c>
      <c r="D12" s="13" t="str">
        <f aca="false">IF('Account Summary'!D11="","",'Account Summary'!D11)</f>
        <v/>
      </c>
      <c r="E12" s="12" t="str">
        <f aca="false">IF(OR('Account Summary'!D11="",'Account Summary'!D10="",'Account Summary'!D10=0),"",('Account Summary'!D11-'Account Summary'!D10)/'Account Summary'!D10)</f>
        <v/>
      </c>
      <c r="F12" s="14" t="str">
        <f aca="false">IF('Account Summary'!E11="","",'Account Summary'!E11)</f>
        <v/>
      </c>
      <c r="G12" s="27" t="str">
        <f aca="false">IF(OR('Account Summary'!E11="",'Account Summary'!E10=""),"",'Account Summary'!E11-'Account Summary'!E10)</f>
        <v/>
      </c>
      <c r="H12" s="11" t="str">
        <f aca="false">IF('Account Summary'!F11="","",'Account Summary'!F11)</f>
        <v/>
      </c>
      <c r="I12" s="12" t="str">
        <f aca="false">IF(OR('Account Summary'!F11="",'Account Summary'!F10="",'Account Summary'!F10=0),"",('Account Summary'!F11-'Account Summary'!F10)/'Account Summary'!F10)</f>
        <v/>
      </c>
      <c r="J12" s="13" t="str">
        <f aca="false">IF('Account Summary'!G11="","",'Account Summary'!G11)</f>
        <v/>
      </c>
      <c r="K12" s="12" t="str">
        <f aca="false">IF(OR('Account Summary'!G11="",'Account Summary'!G10="",'Account Summary'!G10=0),"",('Account Summary'!G11-'Account Summary'!G10)/'Account Summary'!G10)</f>
        <v/>
      </c>
      <c r="L12" s="11" t="str">
        <f aca="false">IF('Account Summary'!I11="","",'Account Summary'!I11)</f>
        <v/>
      </c>
      <c r="M12" s="12" t="str">
        <f aca="false">IF(OR('Account Summary'!I11="",'Account Summary'!I10="",'Account Summary'!I10=0),"",('Account Summary'!I11-'Account Summary'!I10)/'Account Summary'!I10)</f>
        <v/>
      </c>
      <c r="N12" s="26" t="str">
        <f aca="false">IF('Account Summary'!H11="","",'Account Summary'!H11)</f>
        <v/>
      </c>
      <c r="O12" s="12" t="str">
        <f aca="false">IF(OR('Account Summary'!H11="",'Account Summary'!H10="",'Account Summary'!H10=0),"",('Account Summary'!H11-'Account Summary'!H10)/'Account Summary'!H10)</f>
        <v/>
      </c>
      <c r="P12" s="15" t="str">
        <f aca="false">IF('Account Summary'!K11="","",'Account Summary'!K11)</f>
        <v/>
      </c>
      <c r="Q12" s="12" t="str">
        <f aca="false">IF(OR('Account Summary'!K11="",'Account Summary'!K10="",'Account Summary'!K10=0),"",('Account Summary'!K11-'Account Summary'!K10)/'Account Summary'!K10)</f>
        <v/>
      </c>
    </row>
    <row r="13" customFormat="false" ht="15" hidden="false" customHeight="false" outlineLevel="0" collapsed="false">
      <c r="A13" s="25" t="str">
        <f aca="false">'Account Summary'!A12</f>
        <v>Month 8</v>
      </c>
      <c r="B13" s="26" t="str">
        <f aca="false">IF('Account Summary'!B12="","",'Account Summary'!B12)</f>
        <v/>
      </c>
      <c r="C13" s="12" t="str">
        <f aca="false">IF(OR('Account Summary'!B12="",'Account Summary'!B11="",'Account Summary'!B11=0),"",('Account Summary'!B12-'Account Summary'!B11)/'Account Summary'!B11)</f>
        <v/>
      </c>
      <c r="D13" s="13" t="str">
        <f aca="false">IF('Account Summary'!D12="","",'Account Summary'!D12)</f>
        <v/>
      </c>
      <c r="E13" s="12" t="str">
        <f aca="false">IF(OR('Account Summary'!D12="",'Account Summary'!D11="",'Account Summary'!D11=0),"",('Account Summary'!D12-'Account Summary'!D11)/'Account Summary'!D11)</f>
        <v/>
      </c>
      <c r="F13" s="14" t="str">
        <f aca="false">IF('Account Summary'!E12="","",'Account Summary'!E12)</f>
        <v/>
      </c>
      <c r="G13" s="27" t="str">
        <f aca="false">IF(OR('Account Summary'!E12="",'Account Summary'!E11=""),"",'Account Summary'!E12-'Account Summary'!E11)</f>
        <v/>
      </c>
      <c r="H13" s="11" t="str">
        <f aca="false">IF('Account Summary'!F12="","",'Account Summary'!F12)</f>
        <v/>
      </c>
      <c r="I13" s="12" t="str">
        <f aca="false">IF(OR('Account Summary'!F12="",'Account Summary'!F11="",'Account Summary'!F11=0),"",('Account Summary'!F12-'Account Summary'!F11)/'Account Summary'!F11)</f>
        <v/>
      </c>
      <c r="J13" s="13" t="str">
        <f aca="false">IF('Account Summary'!G12="","",'Account Summary'!G12)</f>
        <v/>
      </c>
      <c r="K13" s="12" t="str">
        <f aca="false">IF(OR('Account Summary'!G12="",'Account Summary'!G11="",'Account Summary'!G11=0),"",('Account Summary'!G12-'Account Summary'!G11)/'Account Summary'!G11)</f>
        <v/>
      </c>
      <c r="L13" s="11" t="str">
        <f aca="false">IF('Account Summary'!I12="","",'Account Summary'!I12)</f>
        <v/>
      </c>
      <c r="M13" s="12" t="str">
        <f aca="false">IF(OR('Account Summary'!I12="",'Account Summary'!I11="",'Account Summary'!I11=0),"",('Account Summary'!I12-'Account Summary'!I11)/'Account Summary'!I11)</f>
        <v/>
      </c>
      <c r="N13" s="26" t="str">
        <f aca="false">IF('Account Summary'!H12="","",'Account Summary'!H12)</f>
        <v/>
      </c>
      <c r="O13" s="12" t="str">
        <f aca="false">IF(OR('Account Summary'!H12="",'Account Summary'!H11="",'Account Summary'!H11=0),"",('Account Summary'!H12-'Account Summary'!H11)/'Account Summary'!H11)</f>
        <v/>
      </c>
      <c r="P13" s="15" t="str">
        <f aca="false">IF('Account Summary'!K12="","",'Account Summary'!K12)</f>
        <v/>
      </c>
      <c r="Q13" s="12" t="str">
        <f aca="false">IF(OR('Account Summary'!K12="",'Account Summary'!K11="",'Account Summary'!K11=0),"",('Account Summary'!K12-'Account Summary'!K11)/'Account Summary'!K11)</f>
        <v/>
      </c>
    </row>
    <row r="14" customFormat="false" ht="15" hidden="false" customHeight="false" outlineLevel="0" collapsed="false">
      <c r="A14" s="25" t="str">
        <f aca="false">'Account Summary'!A13</f>
        <v>Month 9</v>
      </c>
      <c r="B14" s="26" t="str">
        <f aca="false">IF('Account Summary'!B13="","",'Account Summary'!B13)</f>
        <v/>
      </c>
      <c r="C14" s="12" t="str">
        <f aca="false">IF(OR('Account Summary'!B13="",'Account Summary'!B12="",'Account Summary'!B12=0),"",('Account Summary'!B13-'Account Summary'!B12)/'Account Summary'!B12)</f>
        <v/>
      </c>
      <c r="D14" s="13" t="str">
        <f aca="false">IF('Account Summary'!D13="","",'Account Summary'!D13)</f>
        <v/>
      </c>
      <c r="E14" s="12" t="str">
        <f aca="false">IF(OR('Account Summary'!D13="",'Account Summary'!D12="",'Account Summary'!D12=0),"",('Account Summary'!D13-'Account Summary'!D12)/'Account Summary'!D12)</f>
        <v/>
      </c>
      <c r="F14" s="14" t="str">
        <f aca="false">IF('Account Summary'!E13="","",'Account Summary'!E13)</f>
        <v/>
      </c>
      <c r="G14" s="27" t="str">
        <f aca="false">IF(OR('Account Summary'!E13="",'Account Summary'!E12=""),"",'Account Summary'!E13-'Account Summary'!E12)</f>
        <v/>
      </c>
      <c r="H14" s="11" t="str">
        <f aca="false">IF('Account Summary'!F13="","",'Account Summary'!F13)</f>
        <v/>
      </c>
      <c r="I14" s="12" t="str">
        <f aca="false">IF(OR('Account Summary'!F13="",'Account Summary'!F12="",'Account Summary'!F12=0),"",('Account Summary'!F13-'Account Summary'!F12)/'Account Summary'!F12)</f>
        <v/>
      </c>
      <c r="J14" s="13" t="str">
        <f aca="false">IF('Account Summary'!G13="","",'Account Summary'!G13)</f>
        <v/>
      </c>
      <c r="K14" s="12" t="str">
        <f aca="false">IF(OR('Account Summary'!G13="",'Account Summary'!G12="",'Account Summary'!G12=0),"",('Account Summary'!G13-'Account Summary'!G12)/'Account Summary'!G12)</f>
        <v/>
      </c>
      <c r="L14" s="11" t="str">
        <f aca="false">IF('Account Summary'!I13="","",'Account Summary'!I13)</f>
        <v/>
      </c>
      <c r="M14" s="12" t="str">
        <f aca="false">IF(OR('Account Summary'!I13="",'Account Summary'!I12="",'Account Summary'!I12=0),"",('Account Summary'!I13-'Account Summary'!I12)/'Account Summary'!I12)</f>
        <v/>
      </c>
      <c r="N14" s="26" t="str">
        <f aca="false">IF('Account Summary'!H13="","",'Account Summary'!H13)</f>
        <v/>
      </c>
      <c r="O14" s="12" t="str">
        <f aca="false">IF(OR('Account Summary'!H13="",'Account Summary'!H12="",'Account Summary'!H12=0),"",('Account Summary'!H13-'Account Summary'!H12)/'Account Summary'!H12)</f>
        <v/>
      </c>
      <c r="P14" s="15" t="str">
        <f aca="false">IF('Account Summary'!K13="","",'Account Summary'!K13)</f>
        <v/>
      </c>
      <c r="Q14" s="12" t="str">
        <f aca="false">IF(OR('Account Summary'!K13="",'Account Summary'!K12="",'Account Summary'!K12=0),"",('Account Summary'!K13-'Account Summary'!K12)/'Account Summary'!K12)</f>
        <v/>
      </c>
    </row>
    <row r="15" customFormat="false" ht="15" hidden="false" customHeight="false" outlineLevel="0" collapsed="false">
      <c r="A15" s="25" t="str">
        <f aca="false">'Account Summary'!A14</f>
        <v>Month 10</v>
      </c>
      <c r="B15" s="26" t="str">
        <f aca="false">IF('Account Summary'!B14="","",'Account Summary'!B14)</f>
        <v/>
      </c>
      <c r="C15" s="12" t="str">
        <f aca="false">IF(OR('Account Summary'!B14="",'Account Summary'!B13="",'Account Summary'!B13=0),"",('Account Summary'!B14-'Account Summary'!B13)/'Account Summary'!B13)</f>
        <v/>
      </c>
      <c r="D15" s="13" t="str">
        <f aca="false">IF('Account Summary'!D14="","",'Account Summary'!D14)</f>
        <v/>
      </c>
      <c r="E15" s="12" t="str">
        <f aca="false">IF(OR('Account Summary'!D14="",'Account Summary'!D13="",'Account Summary'!D13=0),"",('Account Summary'!D14-'Account Summary'!D13)/'Account Summary'!D13)</f>
        <v/>
      </c>
      <c r="F15" s="14" t="str">
        <f aca="false">IF('Account Summary'!E14="","",'Account Summary'!E14)</f>
        <v/>
      </c>
      <c r="G15" s="27" t="str">
        <f aca="false">IF(OR('Account Summary'!E14="",'Account Summary'!E13=""),"",'Account Summary'!E14-'Account Summary'!E13)</f>
        <v/>
      </c>
      <c r="H15" s="11" t="str">
        <f aca="false">IF('Account Summary'!F14="","",'Account Summary'!F14)</f>
        <v/>
      </c>
      <c r="I15" s="12" t="str">
        <f aca="false">IF(OR('Account Summary'!F14="",'Account Summary'!F13="",'Account Summary'!F13=0),"",('Account Summary'!F14-'Account Summary'!F13)/'Account Summary'!F13)</f>
        <v/>
      </c>
      <c r="J15" s="13" t="str">
        <f aca="false">IF('Account Summary'!G14="","",'Account Summary'!G14)</f>
        <v/>
      </c>
      <c r="K15" s="12" t="str">
        <f aca="false">IF(OR('Account Summary'!G14="",'Account Summary'!G13="",'Account Summary'!G13=0),"",('Account Summary'!G14-'Account Summary'!G13)/'Account Summary'!G13)</f>
        <v/>
      </c>
      <c r="L15" s="11" t="str">
        <f aca="false">IF('Account Summary'!I14="","",'Account Summary'!I14)</f>
        <v/>
      </c>
      <c r="M15" s="12" t="str">
        <f aca="false">IF(OR('Account Summary'!I14="",'Account Summary'!I13="",'Account Summary'!I13=0),"",('Account Summary'!I14-'Account Summary'!I13)/'Account Summary'!I13)</f>
        <v/>
      </c>
      <c r="N15" s="26" t="str">
        <f aca="false">IF('Account Summary'!H14="","",'Account Summary'!H14)</f>
        <v/>
      </c>
      <c r="O15" s="12" t="str">
        <f aca="false">IF(OR('Account Summary'!H14="",'Account Summary'!H13="",'Account Summary'!H13=0),"",('Account Summary'!H14-'Account Summary'!H13)/'Account Summary'!H13)</f>
        <v/>
      </c>
      <c r="P15" s="15" t="str">
        <f aca="false">IF('Account Summary'!K14="","",'Account Summary'!K14)</f>
        <v/>
      </c>
      <c r="Q15" s="12" t="str">
        <f aca="false">IF(OR('Account Summary'!K14="",'Account Summary'!K13="",'Account Summary'!K13=0),"",('Account Summary'!K14-'Account Summary'!K13)/'Account Summary'!K13)</f>
        <v/>
      </c>
    </row>
    <row r="16" customFormat="false" ht="15" hidden="false" customHeight="false" outlineLevel="0" collapsed="false">
      <c r="A16" s="25" t="str">
        <f aca="false">'Account Summary'!A15</f>
        <v>Month 11</v>
      </c>
      <c r="B16" s="26" t="str">
        <f aca="false">IF('Account Summary'!B15="","",'Account Summary'!B15)</f>
        <v/>
      </c>
      <c r="C16" s="12" t="str">
        <f aca="false">IF(OR('Account Summary'!B15="",'Account Summary'!B14="",'Account Summary'!B14=0),"",('Account Summary'!B15-'Account Summary'!B14)/'Account Summary'!B14)</f>
        <v/>
      </c>
      <c r="D16" s="13" t="str">
        <f aca="false">IF('Account Summary'!D15="","",'Account Summary'!D15)</f>
        <v/>
      </c>
      <c r="E16" s="12" t="str">
        <f aca="false">IF(OR('Account Summary'!D15="",'Account Summary'!D14="",'Account Summary'!D14=0),"",('Account Summary'!D15-'Account Summary'!D14)/'Account Summary'!D14)</f>
        <v/>
      </c>
      <c r="F16" s="14" t="str">
        <f aca="false">IF('Account Summary'!E15="","",'Account Summary'!E15)</f>
        <v/>
      </c>
      <c r="G16" s="27" t="str">
        <f aca="false">IF(OR('Account Summary'!E15="",'Account Summary'!E14=""),"",'Account Summary'!E15-'Account Summary'!E14)</f>
        <v/>
      </c>
      <c r="H16" s="11" t="str">
        <f aca="false">IF('Account Summary'!F15="","",'Account Summary'!F15)</f>
        <v/>
      </c>
      <c r="I16" s="12" t="str">
        <f aca="false">IF(OR('Account Summary'!F15="",'Account Summary'!F14="",'Account Summary'!F14=0),"",('Account Summary'!F15-'Account Summary'!F14)/'Account Summary'!F14)</f>
        <v/>
      </c>
      <c r="J16" s="13" t="str">
        <f aca="false">IF('Account Summary'!G15="","",'Account Summary'!G15)</f>
        <v/>
      </c>
      <c r="K16" s="12" t="str">
        <f aca="false">IF(OR('Account Summary'!G15="",'Account Summary'!G14="",'Account Summary'!G14=0),"",('Account Summary'!G15-'Account Summary'!G14)/'Account Summary'!G14)</f>
        <v/>
      </c>
      <c r="L16" s="11" t="str">
        <f aca="false">IF('Account Summary'!I15="","",'Account Summary'!I15)</f>
        <v/>
      </c>
      <c r="M16" s="12" t="str">
        <f aca="false">IF(OR('Account Summary'!I15="",'Account Summary'!I14="",'Account Summary'!I14=0),"",('Account Summary'!I15-'Account Summary'!I14)/'Account Summary'!I14)</f>
        <v/>
      </c>
      <c r="N16" s="26" t="str">
        <f aca="false">IF('Account Summary'!H15="","",'Account Summary'!H15)</f>
        <v/>
      </c>
      <c r="O16" s="12" t="str">
        <f aca="false">IF(OR('Account Summary'!H15="",'Account Summary'!H14="",'Account Summary'!H14=0),"",('Account Summary'!H15-'Account Summary'!H14)/'Account Summary'!H14)</f>
        <v/>
      </c>
      <c r="P16" s="15" t="str">
        <f aca="false">IF('Account Summary'!K15="","",'Account Summary'!K15)</f>
        <v/>
      </c>
      <c r="Q16" s="12" t="str">
        <f aca="false">IF(OR('Account Summary'!K15="",'Account Summary'!K14="",'Account Summary'!K14=0),"",('Account Summary'!K15-'Account Summary'!K14)/'Account Summary'!K14)</f>
        <v/>
      </c>
    </row>
    <row r="17" customFormat="false" ht="15" hidden="false" customHeight="false" outlineLevel="0" collapsed="false">
      <c r="A17" s="25" t="str">
        <f aca="false">'Account Summary'!A16</f>
        <v>Month 12</v>
      </c>
      <c r="B17" s="26" t="str">
        <f aca="false">IF('Account Summary'!B16="","",'Account Summary'!B16)</f>
        <v/>
      </c>
      <c r="C17" s="12" t="str">
        <f aca="false">IF(OR('Account Summary'!B16="",'Account Summary'!B15="",'Account Summary'!B15=0),"",('Account Summary'!B16-'Account Summary'!B15)/'Account Summary'!B15)</f>
        <v/>
      </c>
      <c r="D17" s="13" t="str">
        <f aca="false">IF('Account Summary'!D16="","",'Account Summary'!D16)</f>
        <v/>
      </c>
      <c r="E17" s="12" t="str">
        <f aca="false">IF(OR('Account Summary'!D16="",'Account Summary'!D15="",'Account Summary'!D15=0),"",('Account Summary'!D16-'Account Summary'!D15)/'Account Summary'!D15)</f>
        <v/>
      </c>
      <c r="F17" s="14" t="str">
        <f aca="false">IF('Account Summary'!E16="","",'Account Summary'!E16)</f>
        <v/>
      </c>
      <c r="G17" s="27" t="str">
        <f aca="false">IF(OR('Account Summary'!E16="",'Account Summary'!E15=""),"",'Account Summary'!E16-'Account Summary'!E15)</f>
        <v/>
      </c>
      <c r="H17" s="11" t="str">
        <f aca="false">IF('Account Summary'!F16="","",'Account Summary'!F16)</f>
        <v/>
      </c>
      <c r="I17" s="12" t="str">
        <f aca="false">IF(OR('Account Summary'!F16="",'Account Summary'!F15="",'Account Summary'!F15=0),"",('Account Summary'!F16-'Account Summary'!F15)/'Account Summary'!F15)</f>
        <v/>
      </c>
      <c r="J17" s="13" t="str">
        <f aca="false">IF('Account Summary'!G16="","",'Account Summary'!G16)</f>
        <v/>
      </c>
      <c r="K17" s="12" t="str">
        <f aca="false">IF(OR('Account Summary'!G16="",'Account Summary'!G15="",'Account Summary'!G15=0),"",('Account Summary'!G16-'Account Summary'!G15)/'Account Summary'!G15)</f>
        <v/>
      </c>
      <c r="L17" s="11" t="str">
        <f aca="false">IF('Account Summary'!I16="","",'Account Summary'!I16)</f>
        <v/>
      </c>
      <c r="M17" s="12" t="str">
        <f aca="false">IF(OR('Account Summary'!I16="",'Account Summary'!I15="",'Account Summary'!I15=0),"",('Account Summary'!I16-'Account Summary'!I15)/'Account Summary'!I15)</f>
        <v/>
      </c>
      <c r="N17" s="26" t="str">
        <f aca="false">IF('Account Summary'!H16="","",'Account Summary'!H16)</f>
        <v/>
      </c>
      <c r="O17" s="12" t="str">
        <f aca="false">IF(OR('Account Summary'!H16="",'Account Summary'!H15="",'Account Summary'!H15=0),"",('Account Summary'!H16-'Account Summary'!H15)/'Account Summary'!H15)</f>
        <v/>
      </c>
      <c r="P17" s="15" t="str">
        <f aca="false">IF('Account Summary'!K16="","",'Account Summary'!K16)</f>
        <v/>
      </c>
      <c r="Q17" s="12" t="str">
        <f aca="false">IF(OR('Account Summary'!K16="",'Account Summary'!K15="",'Account Summary'!K15=0),"",('Account Summary'!K16-'Account Summary'!K15)/'Account Summary'!K15)</f>
        <v/>
      </c>
    </row>
    <row r="18" customFormat="false" ht="15" hidden="false" customHeight="false" outlineLevel="0" collapsed="false">
      <c r="A18" s="25" t="str">
        <f aca="false">'Account Summary'!A17</f>
        <v>Month 13</v>
      </c>
      <c r="B18" s="26" t="str">
        <f aca="false">IF('Account Summary'!B17="","",'Account Summary'!B17)</f>
        <v/>
      </c>
      <c r="C18" s="12" t="str">
        <f aca="false">IF(OR('Account Summary'!B17="",'Account Summary'!B16="",'Account Summary'!B16=0),"",('Account Summary'!B17-'Account Summary'!B16)/'Account Summary'!B16)</f>
        <v/>
      </c>
      <c r="D18" s="13" t="str">
        <f aca="false">IF('Account Summary'!D17="","",'Account Summary'!D17)</f>
        <v/>
      </c>
      <c r="E18" s="12" t="str">
        <f aca="false">IF(OR('Account Summary'!D17="",'Account Summary'!D16="",'Account Summary'!D16=0),"",('Account Summary'!D17-'Account Summary'!D16)/'Account Summary'!D16)</f>
        <v/>
      </c>
      <c r="F18" s="14" t="str">
        <f aca="false">IF('Account Summary'!E17="","",'Account Summary'!E17)</f>
        <v/>
      </c>
      <c r="G18" s="27" t="str">
        <f aca="false">IF(OR('Account Summary'!E17="",'Account Summary'!E16=""),"",'Account Summary'!E17-'Account Summary'!E16)</f>
        <v/>
      </c>
      <c r="H18" s="11" t="str">
        <f aca="false">IF('Account Summary'!F17="","",'Account Summary'!F17)</f>
        <v/>
      </c>
      <c r="I18" s="12" t="str">
        <f aca="false">IF(OR('Account Summary'!F17="",'Account Summary'!F16="",'Account Summary'!F16=0),"",('Account Summary'!F17-'Account Summary'!F16)/'Account Summary'!F16)</f>
        <v/>
      </c>
      <c r="J18" s="13" t="str">
        <f aca="false">IF('Account Summary'!G17="","",'Account Summary'!G17)</f>
        <v/>
      </c>
      <c r="K18" s="12" t="str">
        <f aca="false">IF(OR('Account Summary'!G17="",'Account Summary'!G16="",'Account Summary'!G16=0),"",('Account Summary'!G17-'Account Summary'!G16)/'Account Summary'!G16)</f>
        <v/>
      </c>
      <c r="L18" s="11" t="str">
        <f aca="false">IF('Account Summary'!I17="","",'Account Summary'!I17)</f>
        <v/>
      </c>
      <c r="M18" s="12" t="str">
        <f aca="false">IF(OR('Account Summary'!I17="",'Account Summary'!I16="",'Account Summary'!I16=0),"",('Account Summary'!I17-'Account Summary'!I16)/'Account Summary'!I16)</f>
        <v/>
      </c>
      <c r="N18" s="26" t="str">
        <f aca="false">IF('Account Summary'!H17="","",'Account Summary'!H17)</f>
        <v/>
      </c>
      <c r="O18" s="12" t="str">
        <f aca="false">IF(OR('Account Summary'!H17="",'Account Summary'!H16="",'Account Summary'!H16=0),"",('Account Summary'!H17-'Account Summary'!H16)/'Account Summary'!H16)</f>
        <v/>
      </c>
      <c r="P18" s="15" t="str">
        <f aca="false">IF('Account Summary'!K17="","",'Account Summary'!K17)</f>
        <v/>
      </c>
      <c r="Q18" s="12" t="str">
        <f aca="false">IF(OR('Account Summary'!K17="",'Account Summary'!K16="",'Account Summary'!K16=0),"",('Account Summary'!K17-'Account Summary'!K16)/'Account Summary'!K16)</f>
        <v/>
      </c>
    </row>
    <row r="19" customFormat="false" ht="15" hidden="false" customHeight="false" outlineLevel="0" collapsed="false">
      <c r="A19" s="25" t="str">
        <f aca="false">'Account Summary'!A18</f>
        <v>Month 14</v>
      </c>
      <c r="B19" s="26" t="str">
        <f aca="false">IF('Account Summary'!B18="","",'Account Summary'!B18)</f>
        <v/>
      </c>
      <c r="C19" s="12" t="str">
        <f aca="false">IF(OR('Account Summary'!B18="",'Account Summary'!B17="",'Account Summary'!B17=0),"",('Account Summary'!B18-'Account Summary'!B17)/'Account Summary'!B17)</f>
        <v/>
      </c>
      <c r="D19" s="13" t="str">
        <f aca="false">IF('Account Summary'!D18="","",'Account Summary'!D18)</f>
        <v/>
      </c>
      <c r="E19" s="12" t="str">
        <f aca="false">IF(OR('Account Summary'!D18="",'Account Summary'!D17="",'Account Summary'!D17=0),"",('Account Summary'!D18-'Account Summary'!D17)/'Account Summary'!D17)</f>
        <v/>
      </c>
      <c r="F19" s="14" t="str">
        <f aca="false">IF('Account Summary'!E18="","",'Account Summary'!E18)</f>
        <v/>
      </c>
      <c r="G19" s="27" t="str">
        <f aca="false">IF(OR('Account Summary'!E18="",'Account Summary'!E17=""),"",'Account Summary'!E18-'Account Summary'!E17)</f>
        <v/>
      </c>
      <c r="H19" s="11" t="str">
        <f aca="false">IF('Account Summary'!F18="","",'Account Summary'!F18)</f>
        <v/>
      </c>
      <c r="I19" s="12" t="str">
        <f aca="false">IF(OR('Account Summary'!F18="",'Account Summary'!F17="",'Account Summary'!F17=0),"",('Account Summary'!F18-'Account Summary'!F17)/'Account Summary'!F17)</f>
        <v/>
      </c>
      <c r="J19" s="13" t="str">
        <f aca="false">IF('Account Summary'!G18="","",'Account Summary'!G18)</f>
        <v/>
      </c>
      <c r="K19" s="12" t="str">
        <f aca="false">IF(OR('Account Summary'!G18="",'Account Summary'!G17="",'Account Summary'!G17=0),"",('Account Summary'!G18-'Account Summary'!G17)/'Account Summary'!G17)</f>
        <v/>
      </c>
      <c r="L19" s="11" t="str">
        <f aca="false">IF('Account Summary'!I18="","",'Account Summary'!I18)</f>
        <v/>
      </c>
      <c r="M19" s="12" t="str">
        <f aca="false">IF(OR('Account Summary'!I18="",'Account Summary'!I17="",'Account Summary'!I17=0),"",('Account Summary'!I18-'Account Summary'!I17)/'Account Summary'!I17)</f>
        <v/>
      </c>
      <c r="N19" s="26" t="str">
        <f aca="false">IF('Account Summary'!H18="","",'Account Summary'!H18)</f>
        <v/>
      </c>
      <c r="O19" s="12" t="str">
        <f aca="false">IF(OR('Account Summary'!H18="",'Account Summary'!H17="",'Account Summary'!H17=0),"",('Account Summary'!H18-'Account Summary'!H17)/'Account Summary'!H17)</f>
        <v/>
      </c>
      <c r="P19" s="15" t="str">
        <f aca="false">IF('Account Summary'!K18="","",'Account Summary'!K18)</f>
        <v/>
      </c>
      <c r="Q19" s="12" t="str">
        <f aca="false">IF(OR('Account Summary'!K18="",'Account Summary'!K17="",'Account Summary'!K17=0),"",('Account Summary'!K18-'Account Summary'!K17)/'Account Summary'!K17)</f>
        <v/>
      </c>
    </row>
    <row r="20" customFormat="false" ht="15" hidden="false" customHeight="false" outlineLevel="0" collapsed="false">
      <c r="A20" s="25" t="str">
        <f aca="false">'Account Summary'!A19</f>
        <v>Month 15</v>
      </c>
      <c r="B20" s="26" t="str">
        <f aca="false">IF('Account Summary'!B19="","",'Account Summary'!B19)</f>
        <v/>
      </c>
      <c r="C20" s="12" t="str">
        <f aca="false">IF(OR('Account Summary'!B19="",'Account Summary'!B18="",'Account Summary'!B18=0),"",('Account Summary'!B19-'Account Summary'!B18)/'Account Summary'!B18)</f>
        <v/>
      </c>
      <c r="D20" s="13" t="str">
        <f aca="false">IF('Account Summary'!D19="","",'Account Summary'!D19)</f>
        <v/>
      </c>
      <c r="E20" s="12" t="str">
        <f aca="false">IF(OR('Account Summary'!D19="",'Account Summary'!D18="",'Account Summary'!D18=0),"",('Account Summary'!D19-'Account Summary'!D18)/'Account Summary'!D18)</f>
        <v/>
      </c>
      <c r="F20" s="14" t="str">
        <f aca="false">IF('Account Summary'!E19="","",'Account Summary'!E19)</f>
        <v/>
      </c>
      <c r="G20" s="27" t="str">
        <f aca="false">IF(OR('Account Summary'!E19="",'Account Summary'!E18=""),"",'Account Summary'!E19-'Account Summary'!E18)</f>
        <v/>
      </c>
      <c r="H20" s="11" t="str">
        <f aca="false">IF('Account Summary'!F19="","",'Account Summary'!F19)</f>
        <v/>
      </c>
      <c r="I20" s="12" t="str">
        <f aca="false">IF(OR('Account Summary'!F19="",'Account Summary'!F18="",'Account Summary'!F18=0),"",('Account Summary'!F19-'Account Summary'!F18)/'Account Summary'!F18)</f>
        <v/>
      </c>
      <c r="J20" s="13" t="str">
        <f aca="false">IF('Account Summary'!G19="","",'Account Summary'!G19)</f>
        <v/>
      </c>
      <c r="K20" s="12" t="str">
        <f aca="false">IF(OR('Account Summary'!G19="",'Account Summary'!G18="",'Account Summary'!G18=0),"",('Account Summary'!G19-'Account Summary'!G18)/'Account Summary'!G18)</f>
        <v/>
      </c>
      <c r="L20" s="11" t="str">
        <f aca="false">IF('Account Summary'!I19="","",'Account Summary'!I19)</f>
        <v/>
      </c>
      <c r="M20" s="12" t="str">
        <f aca="false">IF(OR('Account Summary'!I19="",'Account Summary'!I18="",'Account Summary'!I18=0),"",('Account Summary'!I19-'Account Summary'!I18)/'Account Summary'!I18)</f>
        <v/>
      </c>
      <c r="N20" s="26" t="str">
        <f aca="false">IF('Account Summary'!H19="","",'Account Summary'!H19)</f>
        <v/>
      </c>
      <c r="O20" s="12" t="str">
        <f aca="false">IF(OR('Account Summary'!H19="",'Account Summary'!H18="",'Account Summary'!H18=0),"",('Account Summary'!H19-'Account Summary'!H18)/'Account Summary'!H18)</f>
        <v/>
      </c>
      <c r="P20" s="15" t="str">
        <f aca="false">IF('Account Summary'!K19="","",'Account Summary'!K19)</f>
        <v/>
      </c>
      <c r="Q20" s="12" t="str">
        <f aca="false">IF(OR('Account Summary'!K19="",'Account Summary'!K18="",'Account Summary'!K18=0),"",('Account Summary'!K19-'Account Summary'!K18)/'Account Summary'!K18)</f>
        <v/>
      </c>
    </row>
    <row r="21" customFormat="false" ht="15" hidden="false" customHeight="false" outlineLevel="0" collapsed="false">
      <c r="A21" s="25" t="str">
        <f aca="false">'Account Summary'!A20</f>
        <v>Month 16</v>
      </c>
      <c r="B21" s="26" t="str">
        <f aca="false">IF('Account Summary'!B20="","",'Account Summary'!B20)</f>
        <v/>
      </c>
      <c r="C21" s="12" t="str">
        <f aca="false">IF(OR('Account Summary'!B20="",'Account Summary'!B19="",'Account Summary'!B19=0),"",('Account Summary'!B20-'Account Summary'!B19)/'Account Summary'!B19)</f>
        <v/>
      </c>
      <c r="D21" s="13" t="str">
        <f aca="false">IF('Account Summary'!D20="","",'Account Summary'!D20)</f>
        <v/>
      </c>
      <c r="E21" s="12" t="str">
        <f aca="false">IF(OR('Account Summary'!D20="",'Account Summary'!D19="",'Account Summary'!D19=0),"",('Account Summary'!D20-'Account Summary'!D19)/'Account Summary'!D19)</f>
        <v/>
      </c>
      <c r="F21" s="14" t="str">
        <f aca="false">IF('Account Summary'!E20="","",'Account Summary'!E20)</f>
        <v/>
      </c>
      <c r="G21" s="27" t="str">
        <f aca="false">IF(OR('Account Summary'!E20="",'Account Summary'!E19=""),"",'Account Summary'!E20-'Account Summary'!E19)</f>
        <v/>
      </c>
      <c r="H21" s="11" t="str">
        <f aca="false">IF('Account Summary'!F20="","",'Account Summary'!F20)</f>
        <v/>
      </c>
      <c r="I21" s="12" t="str">
        <f aca="false">IF(OR('Account Summary'!F20="",'Account Summary'!F19="",'Account Summary'!F19=0),"",('Account Summary'!F20-'Account Summary'!F19)/'Account Summary'!F19)</f>
        <v/>
      </c>
      <c r="J21" s="13" t="str">
        <f aca="false">IF('Account Summary'!G20="","",'Account Summary'!G20)</f>
        <v/>
      </c>
      <c r="K21" s="12" t="str">
        <f aca="false">IF(OR('Account Summary'!G20="",'Account Summary'!G19="",'Account Summary'!G19=0),"",('Account Summary'!G20-'Account Summary'!G19)/'Account Summary'!G19)</f>
        <v/>
      </c>
      <c r="L21" s="11" t="str">
        <f aca="false">IF('Account Summary'!I20="","",'Account Summary'!I20)</f>
        <v/>
      </c>
      <c r="M21" s="12" t="str">
        <f aca="false">IF(OR('Account Summary'!I20="",'Account Summary'!I19="",'Account Summary'!I19=0),"",('Account Summary'!I20-'Account Summary'!I19)/'Account Summary'!I19)</f>
        <v/>
      </c>
      <c r="N21" s="26" t="str">
        <f aca="false">IF('Account Summary'!H20="","",'Account Summary'!H20)</f>
        <v/>
      </c>
      <c r="O21" s="12" t="str">
        <f aca="false">IF(OR('Account Summary'!H20="",'Account Summary'!H19="",'Account Summary'!H19=0),"",('Account Summary'!H20-'Account Summary'!H19)/'Account Summary'!H19)</f>
        <v/>
      </c>
      <c r="P21" s="15" t="str">
        <f aca="false">IF('Account Summary'!K20="","",'Account Summary'!K20)</f>
        <v/>
      </c>
      <c r="Q21" s="12" t="str">
        <f aca="false">IF(OR('Account Summary'!K20="",'Account Summary'!K19="",'Account Summary'!K19=0),"",('Account Summary'!K20-'Account Summary'!K19)/'Account Summary'!K19)</f>
        <v/>
      </c>
    </row>
    <row r="22" customFormat="false" ht="15" hidden="false" customHeight="false" outlineLevel="0" collapsed="false">
      <c r="A22" s="25" t="str">
        <f aca="false">'Account Summary'!A21</f>
        <v>Month 17</v>
      </c>
      <c r="B22" s="26" t="str">
        <f aca="false">IF('Account Summary'!B21="","",'Account Summary'!B21)</f>
        <v/>
      </c>
      <c r="C22" s="12" t="str">
        <f aca="false">IF(OR('Account Summary'!B21="",'Account Summary'!B20="",'Account Summary'!B20=0),"",('Account Summary'!B21-'Account Summary'!B20)/'Account Summary'!B20)</f>
        <v/>
      </c>
      <c r="D22" s="13" t="str">
        <f aca="false">IF('Account Summary'!D21="","",'Account Summary'!D21)</f>
        <v/>
      </c>
      <c r="E22" s="12" t="str">
        <f aca="false">IF(OR('Account Summary'!D21="",'Account Summary'!D20="",'Account Summary'!D20=0),"",('Account Summary'!D21-'Account Summary'!D20)/'Account Summary'!D20)</f>
        <v/>
      </c>
      <c r="F22" s="14" t="str">
        <f aca="false">IF('Account Summary'!E21="","",'Account Summary'!E21)</f>
        <v/>
      </c>
      <c r="G22" s="27" t="str">
        <f aca="false">IF(OR('Account Summary'!E21="",'Account Summary'!E20=""),"",'Account Summary'!E21-'Account Summary'!E20)</f>
        <v/>
      </c>
      <c r="H22" s="11" t="str">
        <f aca="false">IF('Account Summary'!F21="","",'Account Summary'!F21)</f>
        <v/>
      </c>
      <c r="I22" s="12" t="str">
        <f aca="false">IF(OR('Account Summary'!F21="",'Account Summary'!F20="",'Account Summary'!F20=0),"",('Account Summary'!F21-'Account Summary'!F20)/'Account Summary'!F20)</f>
        <v/>
      </c>
      <c r="J22" s="13" t="str">
        <f aca="false">IF('Account Summary'!G21="","",'Account Summary'!G21)</f>
        <v/>
      </c>
      <c r="K22" s="12" t="str">
        <f aca="false">IF(OR('Account Summary'!G21="",'Account Summary'!G20="",'Account Summary'!G20=0),"",('Account Summary'!G21-'Account Summary'!G20)/'Account Summary'!G20)</f>
        <v/>
      </c>
      <c r="L22" s="11" t="str">
        <f aca="false">IF('Account Summary'!I21="","",'Account Summary'!I21)</f>
        <v/>
      </c>
      <c r="M22" s="12" t="str">
        <f aca="false">IF(OR('Account Summary'!I21="",'Account Summary'!I20="",'Account Summary'!I20=0),"",('Account Summary'!I21-'Account Summary'!I20)/'Account Summary'!I20)</f>
        <v/>
      </c>
      <c r="N22" s="26" t="str">
        <f aca="false">IF('Account Summary'!H21="","",'Account Summary'!H21)</f>
        <v/>
      </c>
      <c r="O22" s="12" t="str">
        <f aca="false">IF(OR('Account Summary'!H21="",'Account Summary'!H20="",'Account Summary'!H20=0),"",('Account Summary'!H21-'Account Summary'!H20)/'Account Summary'!H20)</f>
        <v/>
      </c>
      <c r="P22" s="15" t="str">
        <f aca="false">IF('Account Summary'!K21="","",'Account Summary'!K21)</f>
        <v/>
      </c>
      <c r="Q22" s="12" t="str">
        <f aca="false">IF(OR('Account Summary'!K21="",'Account Summary'!K20="",'Account Summary'!K20=0),"",('Account Summary'!K21-'Account Summary'!K20)/'Account Summary'!K20)</f>
        <v/>
      </c>
    </row>
    <row r="23" customFormat="false" ht="15" hidden="false" customHeight="false" outlineLevel="0" collapsed="false">
      <c r="A23" s="25" t="str">
        <f aca="false">'Account Summary'!A22</f>
        <v>Month 18</v>
      </c>
      <c r="B23" s="26" t="str">
        <f aca="false">IF('Account Summary'!B22="","",'Account Summary'!B22)</f>
        <v/>
      </c>
      <c r="C23" s="12" t="str">
        <f aca="false">IF(OR('Account Summary'!B22="",'Account Summary'!B21="",'Account Summary'!B21=0),"",('Account Summary'!B22-'Account Summary'!B21)/'Account Summary'!B21)</f>
        <v/>
      </c>
      <c r="D23" s="13" t="str">
        <f aca="false">IF('Account Summary'!D22="","",'Account Summary'!D22)</f>
        <v/>
      </c>
      <c r="E23" s="12" t="str">
        <f aca="false">IF(OR('Account Summary'!D22="",'Account Summary'!D21="",'Account Summary'!D21=0),"",('Account Summary'!D22-'Account Summary'!D21)/'Account Summary'!D21)</f>
        <v/>
      </c>
      <c r="F23" s="14" t="str">
        <f aca="false">IF('Account Summary'!E22="","",'Account Summary'!E22)</f>
        <v/>
      </c>
      <c r="G23" s="27" t="str">
        <f aca="false">IF(OR('Account Summary'!E22="",'Account Summary'!E21=""),"",'Account Summary'!E22-'Account Summary'!E21)</f>
        <v/>
      </c>
      <c r="H23" s="11" t="str">
        <f aca="false">IF('Account Summary'!F22="","",'Account Summary'!F22)</f>
        <v/>
      </c>
      <c r="I23" s="12" t="str">
        <f aca="false">IF(OR('Account Summary'!F22="",'Account Summary'!F21="",'Account Summary'!F21=0),"",('Account Summary'!F22-'Account Summary'!F21)/'Account Summary'!F21)</f>
        <v/>
      </c>
      <c r="J23" s="13" t="str">
        <f aca="false">IF('Account Summary'!G22="","",'Account Summary'!G22)</f>
        <v/>
      </c>
      <c r="K23" s="12" t="str">
        <f aca="false">IF(OR('Account Summary'!G22="",'Account Summary'!G21="",'Account Summary'!G21=0),"",('Account Summary'!G22-'Account Summary'!G21)/'Account Summary'!G21)</f>
        <v/>
      </c>
      <c r="L23" s="11" t="str">
        <f aca="false">IF('Account Summary'!I22="","",'Account Summary'!I22)</f>
        <v/>
      </c>
      <c r="M23" s="12" t="str">
        <f aca="false">IF(OR('Account Summary'!I22="",'Account Summary'!I21="",'Account Summary'!I21=0),"",('Account Summary'!I22-'Account Summary'!I21)/'Account Summary'!I21)</f>
        <v/>
      </c>
      <c r="N23" s="26" t="str">
        <f aca="false">IF('Account Summary'!H22="","",'Account Summary'!H22)</f>
        <v/>
      </c>
      <c r="O23" s="12" t="str">
        <f aca="false">IF(OR('Account Summary'!H22="",'Account Summary'!H21="",'Account Summary'!H21=0),"",('Account Summary'!H22-'Account Summary'!H21)/'Account Summary'!H21)</f>
        <v/>
      </c>
      <c r="P23" s="15" t="str">
        <f aca="false">IF('Account Summary'!K22="","",'Account Summary'!K22)</f>
        <v/>
      </c>
      <c r="Q23" s="12" t="str">
        <f aca="false">IF(OR('Account Summary'!K22="",'Account Summary'!K21="",'Account Summary'!K21=0),"",('Account Summary'!K22-'Account Summary'!K21)/'Account Summary'!K21)</f>
        <v/>
      </c>
    </row>
    <row r="24" customFormat="false" ht="15" hidden="false" customHeight="false" outlineLevel="0" collapsed="false">
      <c r="A24" s="25" t="str">
        <f aca="false">'Account Summary'!A23</f>
        <v>Month 19</v>
      </c>
      <c r="B24" s="26" t="str">
        <f aca="false">IF('Account Summary'!B23="","",'Account Summary'!B23)</f>
        <v/>
      </c>
      <c r="C24" s="12" t="str">
        <f aca="false">IF(OR('Account Summary'!B23="",'Account Summary'!B22="",'Account Summary'!B22=0),"",('Account Summary'!B23-'Account Summary'!B22)/'Account Summary'!B22)</f>
        <v/>
      </c>
      <c r="D24" s="13" t="str">
        <f aca="false">IF('Account Summary'!D23="","",'Account Summary'!D23)</f>
        <v/>
      </c>
      <c r="E24" s="12" t="str">
        <f aca="false">IF(OR('Account Summary'!D23="",'Account Summary'!D22="",'Account Summary'!D22=0),"",('Account Summary'!D23-'Account Summary'!D22)/'Account Summary'!D22)</f>
        <v/>
      </c>
      <c r="F24" s="14" t="str">
        <f aca="false">IF('Account Summary'!E23="","",'Account Summary'!E23)</f>
        <v/>
      </c>
      <c r="G24" s="27" t="str">
        <f aca="false">IF(OR('Account Summary'!E23="",'Account Summary'!E22=""),"",'Account Summary'!E23-'Account Summary'!E22)</f>
        <v/>
      </c>
      <c r="H24" s="11" t="str">
        <f aca="false">IF('Account Summary'!F23="","",'Account Summary'!F23)</f>
        <v/>
      </c>
      <c r="I24" s="12" t="str">
        <f aca="false">IF(OR('Account Summary'!F23="",'Account Summary'!F22="",'Account Summary'!F22=0),"",('Account Summary'!F23-'Account Summary'!F22)/'Account Summary'!F22)</f>
        <v/>
      </c>
      <c r="J24" s="13" t="str">
        <f aca="false">IF('Account Summary'!G23="","",'Account Summary'!G23)</f>
        <v/>
      </c>
      <c r="K24" s="12" t="str">
        <f aca="false">IF(OR('Account Summary'!G23="",'Account Summary'!G22="",'Account Summary'!G22=0),"",('Account Summary'!G23-'Account Summary'!G22)/'Account Summary'!G22)</f>
        <v/>
      </c>
      <c r="L24" s="11" t="str">
        <f aca="false">IF('Account Summary'!I23="","",'Account Summary'!I23)</f>
        <v/>
      </c>
      <c r="M24" s="12" t="str">
        <f aca="false">IF(OR('Account Summary'!I23="",'Account Summary'!I22="",'Account Summary'!I22=0),"",('Account Summary'!I23-'Account Summary'!I22)/'Account Summary'!I22)</f>
        <v/>
      </c>
      <c r="N24" s="26" t="str">
        <f aca="false">IF('Account Summary'!H23="","",'Account Summary'!H23)</f>
        <v/>
      </c>
      <c r="O24" s="12" t="str">
        <f aca="false">IF(OR('Account Summary'!H23="",'Account Summary'!H22="",'Account Summary'!H22=0),"",('Account Summary'!H23-'Account Summary'!H22)/'Account Summary'!H22)</f>
        <v/>
      </c>
      <c r="P24" s="15" t="str">
        <f aca="false">IF('Account Summary'!K23="","",'Account Summary'!K23)</f>
        <v/>
      </c>
      <c r="Q24" s="12" t="str">
        <f aca="false">IF(OR('Account Summary'!K23="",'Account Summary'!K22="",'Account Summary'!K22=0),"",('Account Summary'!K23-'Account Summary'!K22)/'Account Summary'!K22)</f>
        <v/>
      </c>
    </row>
    <row r="25" customFormat="false" ht="15" hidden="false" customHeight="false" outlineLevel="0" collapsed="false">
      <c r="A25" s="25" t="str">
        <f aca="false">'Account Summary'!A24</f>
        <v>Month 20</v>
      </c>
      <c r="B25" s="26" t="str">
        <f aca="false">IF('Account Summary'!B24="","",'Account Summary'!B24)</f>
        <v/>
      </c>
      <c r="C25" s="12" t="str">
        <f aca="false">IF(OR('Account Summary'!B24="",'Account Summary'!B23="",'Account Summary'!B23=0),"",('Account Summary'!B24-'Account Summary'!B23)/'Account Summary'!B23)</f>
        <v/>
      </c>
      <c r="D25" s="13" t="str">
        <f aca="false">IF('Account Summary'!D24="","",'Account Summary'!D24)</f>
        <v/>
      </c>
      <c r="E25" s="12" t="str">
        <f aca="false">IF(OR('Account Summary'!D24="",'Account Summary'!D23="",'Account Summary'!D23=0),"",('Account Summary'!D24-'Account Summary'!D23)/'Account Summary'!D23)</f>
        <v/>
      </c>
      <c r="F25" s="14" t="str">
        <f aca="false">IF('Account Summary'!E24="","",'Account Summary'!E24)</f>
        <v/>
      </c>
      <c r="G25" s="27" t="str">
        <f aca="false">IF(OR('Account Summary'!E24="",'Account Summary'!E23=""),"",'Account Summary'!E24-'Account Summary'!E23)</f>
        <v/>
      </c>
      <c r="H25" s="11" t="str">
        <f aca="false">IF('Account Summary'!F24="","",'Account Summary'!F24)</f>
        <v/>
      </c>
      <c r="I25" s="12" t="str">
        <f aca="false">IF(OR('Account Summary'!F24="",'Account Summary'!F23="",'Account Summary'!F23=0),"",('Account Summary'!F24-'Account Summary'!F23)/'Account Summary'!F23)</f>
        <v/>
      </c>
      <c r="J25" s="13" t="str">
        <f aca="false">IF('Account Summary'!G24="","",'Account Summary'!G24)</f>
        <v/>
      </c>
      <c r="K25" s="12" t="str">
        <f aca="false">IF(OR('Account Summary'!G24="",'Account Summary'!G23="",'Account Summary'!G23=0),"",('Account Summary'!G24-'Account Summary'!G23)/'Account Summary'!G23)</f>
        <v/>
      </c>
      <c r="L25" s="11" t="str">
        <f aca="false">IF('Account Summary'!I24="","",'Account Summary'!I24)</f>
        <v/>
      </c>
      <c r="M25" s="12" t="str">
        <f aca="false">IF(OR('Account Summary'!I24="",'Account Summary'!I23="",'Account Summary'!I23=0),"",('Account Summary'!I24-'Account Summary'!I23)/'Account Summary'!I23)</f>
        <v/>
      </c>
      <c r="N25" s="26" t="str">
        <f aca="false">IF('Account Summary'!H24="","",'Account Summary'!H24)</f>
        <v/>
      </c>
      <c r="O25" s="12" t="str">
        <f aca="false">IF(OR('Account Summary'!H24="",'Account Summary'!H23="",'Account Summary'!H23=0),"",('Account Summary'!H24-'Account Summary'!H23)/'Account Summary'!H23)</f>
        <v/>
      </c>
      <c r="P25" s="15" t="str">
        <f aca="false">IF('Account Summary'!K24="","",'Account Summary'!K24)</f>
        <v/>
      </c>
      <c r="Q25" s="12" t="str">
        <f aca="false">IF(OR('Account Summary'!K24="",'Account Summary'!K23="",'Account Summary'!K23=0),"",('Account Summary'!K24-'Account Summary'!K23)/'Account Summary'!K23)</f>
        <v/>
      </c>
    </row>
    <row r="26" customFormat="false" ht="15" hidden="false" customHeight="false" outlineLevel="0" collapsed="false">
      <c r="A26" s="25" t="str">
        <f aca="false">'Account Summary'!A25</f>
        <v>Month 21</v>
      </c>
      <c r="B26" s="26" t="str">
        <f aca="false">IF('Account Summary'!B25="","",'Account Summary'!B25)</f>
        <v/>
      </c>
      <c r="C26" s="12" t="str">
        <f aca="false">IF(OR('Account Summary'!B25="",'Account Summary'!B24="",'Account Summary'!B24=0),"",('Account Summary'!B25-'Account Summary'!B24)/'Account Summary'!B24)</f>
        <v/>
      </c>
      <c r="D26" s="13" t="str">
        <f aca="false">IF('Account Summary'!D25="","",'Account Summary'!D25)</f>
        <v/>
      </c>
      <c r="E26" s="12" t="str">
        <f aca="false">IF(OR('Account Summary'!D25="",'Account Summary'!D24="",'Account Summary'!D24=0),"",('Account Summary'!D25-'Account Summary'!D24)/'Account Summary'!D24)</f>
        <v/>
      </c>
      <c r="F26" s="14" t="str">
        <f aca="false">IF('Account Summary'!E25="","",'Account Summary'!E25)</f>
        <v/>
      </c>
      <c r="G26" s="27" t="str">
        <f aca="false">IF(OR('Account Summary'!E25="",'Account Summary'!E24=""),"",'Account Summary'!E25-'Account Summary'!E24)</f>
        <v/>
      </c>
      <c r="H26" s="11" t="str">
        <f aca="false">IF('Account Summary'!F25="","",'Account Summary'!F25)</f>
        <v/>
      </c>
      <c r="I26" s="12" t="str">
        <f aca="false">IF(OR('Account Summary'!F25="",'Account Summary'!F24="",'Account Summary'!F24=0),"",('Account Summary'!F25-'Account Summary'!F24)/'Account Summary'!F24)</f>
        <v/>
      </c>
      <c r="J26" s="13" t="str">
        <f aca="false">IF('Account Summary'!G25="","",'Account Summary'!G25)</f>
        <v/>
      </c>
      <c r="K26" s="12" t="str">
        <f aca="false">IF(OR('Account Summary'!G25="",'Account Summary'!G24="",'Account Summary'!G24=0),"",('Account Summary'!G25-'Account Summary'!G24)/'Account Summary'!G24)</f>
        <v/>
      </c>
      <c r="L26" s="11" t="str">
        <f aca="false">IF('Account Summary'!I25="","",'Account Summary'!I25)</f>
        <v/>
      </c>
      <c r="M26" s="12" t="str">
        <f aca="false">IF(OR('Account Summary'!I25="",'Account Summary'!I24="",'Account Summary'!I24=0),"",('Account Summary'!I25-'Account Summary'!I24)/'Account Summary'!I24)</f>
        <v/>
      </c>
      <c r="N26" s="26" t="str">
        <f aca="false">IF('Account Summary'!H25="","",'Account Summary'!H25)</f>
        <v/>
      </c>
      <c r="O26" s="12" t="str">
        <f aca="false">IF(OR('Account Summary'!H25="",'Account Summary'!H24="",'Account Summary'!H24=0),"",('Account Summary'!H25-'Account Summary'!H24)/'Account Summary'!H24)</f>
        <v/>
      </c>
      <c r="P26" s="15" t="str">
        <f aca="false">IF('Account Summary'!K25="","",'Account Summary'!K25)</f>
        <v/>
      </c>
      <c r="Q26" s="12" t="str">
        <f aca="false">IF(OR('Account Summary'!K25="",'Account Summary'!K24="",'Account Summary'!K24=0),"",('Account Summary'!K25-'Account Summary'!K24)/'Account Summary'!K24)</f>
        <v/>
      </c>
    </row>
    <row r="27" customFormat="false" ht="15" hidden="false" customHeight="false" outlineLevel="0" collapsed="false">
      <c r="A27" s="25" t="str">
        <f aca="false">'Account Summary'!A26</f>
        <v>Month 22</v>
      </c>
      <c r="B27" s="26" t="str">
        <f aca="false">IF('Account Summary'!B26="","",'Account Summary'!B26)</f>
        <v/>
      </c>
      <c r="C27" s="12" t="str">
        <f aca="false">IF(OR('Account Summary'!B26="",'Account Summary'!B25="",'Account Summary'!B25=0),"",('Account Summary'!B26-'Account Summary'!B25)/'Account Summary'!B25)</f>
        <v/>
      </c>
      <c r="D27" s="13" t="str">
        <f aca="false">IF('Account Summary'!D26="","",'Account Summary'!D26)</f>
        <v/>
      </c>
      <c r="E27" s="12" t="str">
        <f aca="false">IF(OR('Account Summary'!D26="",'Account Summary'!D25="",'Account Summary'!D25=0),"",('Account Summary'!D26-'Account Summary'!D25)/'Account Summary'!D25)</f>
        <v/>
      </c>
      <c r="F27" s="14" t="str">
        <f aca="false">IF('Account Summary'!E26="","",'Account Summary'!E26)</f>
        <v/>
      </c>
      <c r="G27" s="27" t="str">
        <f aca="false">IF(OR('Account Summary'!E26="",'Account Summary'!E25=""),"",'Account Summary'!E26-'Account Summary'!E25)</f>
        <v/>
      </c>
      <c r="H27" s="11" t="str">
        <f aca="false">IF('Account Summary'!F26="","",'Account Summary'!F26)</f>
        <v/>
      </c>
      <c r="I27" s="12" t="str">
        <f aca="false">IF(OR('Account Summary'!F26="",'Account Summary'!F25="",'Account Summary'!F25=0),"",('Account Summary'!F26-'Account Summary'!F25)/'Account Summary'!F25)</f>
        <v/>
      </c>
      <c r="J27" s="13" t="str">
        <f aca="false">IF('Account Summary'!G26="","",'Account Summary'!G26)</f>
        <v/>
      </c>
      <c r="K27" s="12" t="str">
        <f aca="false">IF(OR('Account Summary'!G26="",'Account Summary'!G25="",'Account Summary'!G25=0),"",('Account Summary'!G26-'Account Summary'!G25)/'Account Summary'!G25)</f>
        <v/>
      </c>
      <c r="L27" s="11" t="str">
        <f aca="false">IF('Account Summary'!I26="","",'Account Summary'!I26)</f>
        <v/>
      </c>
      <c r="M27" s="12" t="str">
        <f aca="false">IF(OR('Account Summary'!I26="",'Account Summary'!I25="",'Account Summary'!I25=0),"",('Account Summary'!I26-'Account Summary'!I25)/'Account Summary'!I25)</f>
        <v/>
      </c>
      <c r="N27" s="26" t="str">
        <f aca="false">IF('Account Summary'!H26="","",'Account Summary'!H26)</f>
        <v/>
      </c>
      <c r="O27" s="12" t="str">
        <f aca="false">IF(OR('Account Summary'!H26="",'Account Summary'!H25="",'Account Summary'!H25=0),"",('Account Summary'!H26-'Account Summary'!H25)/'Account Summary'!H25)</f>
        <v/>
      </c>
      <c r="P27" s="15" t="str">
        <f aca="false">IF('Account Summary'!K26="","",'Account Summary'!K26)</f>
        <v/>
      </c>
      <c r="Q27" s="12" t="str">
        <f aca="false">IF(OR('Account Summary'!K26="",'Account Summary'!K25="",'Account Summary'!K25=0),"",('Account Summary'!K26-'Account Summary'!K25)/'Account Summary'!K25)</f>
        <v/>
      </c>
    </row>
    <row r="28" customFormat="false" ht="15" hidden="false" customHeight="false" outlineLevel="0" collapsed="false">
      <c r="A28" s="25" t="str">
        <f aca="false">'Account Summary'!A27</f>
        <v>Month 23</v>
      </c>
      <c r="B28" s="26" t="str">
        <f aca="false">IF('Account Summary'!B27="","",'Account Summary'!B27)</f>
        <v/>
      </c>
      <c r="C28" s="12" t="str">
        <f aca="false">IF(OR('Account Summary'!B27="",'Account Summary'!B26="",'Account Summary'!B26=0),"",('Account Summary'!B27-'Account Summary'!B26)/'Account Summary'!B26)</f>
        <v/>
      </c>
      <c r="D28" s="13" t="str">
        <f aca="false">IF('Account Summary'!D27="","",'Account Summary'!D27)</f>
        <v/>
      </c>
      <c r="E28" s="12" t="str">
        <f aca="false">IF(OR('Account Summary'!D27="",'Account Summary'!D26="",'Account Summary'!D26=0),"",('Account Summary'!D27-'Account Summary'!D26)/'Account Summary'!D26)</f>
        <v/>
      </c>
      <c r="F28" s="14" t="str">
        <f aca="false">IF('Account Summary'!E27="","",'Account Summary'!E27)</f>
        <v/>
      </c>
      <c r="G28" s="27" t="str">
        <f aca="false">IF(OR('Account Summary'!E27="",'Account Summary'!E26=""),"",'Account Summary'!E27-'Account Summary'!E26)</f>
        <v/>
      </c>
      <c r="H28" s="11" t="str">
        <f aca="false">IF('Account Summary'!F27="","",'Account Summary'!F27)</f>
        <v/>
      </c>
      <c r="I28" s="12" t="str">
        <f aca="false">IF(OR('Account Summary'!F27="",'Account Summary'!F26="",'Account Summary'!F26=0),"",('Account Summary'!F27-'Account Summary'!F26)/'Account Summary'!F26)</f>
        <v/>
      </c>
      <c r="J28" s="13" t="str">
        <f aca="false">IF('Account Summary'!G27="","",'Account Summary'!G27)</f>
        <v/>
      </c>
      <c r="K28" s="12" t="str">
        <f aca="false">IF(OR('Account Summary'!G27="",'Account Summary'!G26="",'Account Summary'!G26=0),"",('Account Summary'!G27-'Account Summary'!G26)/'Account Summary'!G26)</f>
        <v/>
      </c>
      <c r="L28" s="11" t="str">
        <f aca="false">IF('Account Summary'!I27="","",'Account Summary'!I27)</f>
        <v/>
      </c>
      <c r="M28" s="12" t="str">
        <f aca="false">IF(OR('Account Summary'!I27="",'Account Summary'!I26="",'Account Summary'!I26=0),"",('Account Summary'!I27-'Account Summary'!I26)/'Account Summary'!I26)</f>
        <v/>
      </c>
      <c r="N28" s="26" t="str">
        <f aca="false">IF('Account Summary'!H27="","",'Account Summary'!H27)</f>
        <v/>
      </c>
      <c r="O28" s="12" t="str">
        <f aca="false">IF(OR('Account Summary'!H27="",'Account Summary'!H26="",'Account Summary'!H26=0),"",('Account Summary'!H27-'Account Summary'!H26)/'Account Summary'!H26)</f>
        <v/>
      </c>
      <c r="P28" s="15" t="str">
        <f aca="false">IF('Account Summary'!K27="","",'Account Summary'!K27)</f>
        <v/>
      </c>
      <c r="Q28" s="12" t="str">
        <f aca="false">IF(OR('Account Summary'!K27="",'Account Summary'!K26="",'Account Summary'!K26=0),"",('Account Summary'!K27-'Account Summary'!K26)/'Account Summary'!K26)</f>
        <v/>
      </c>
    </row>
    <row r="29" customFormat="false" ht="15" hidden="false" customHeight="false" outlineLevel="0" collapsed="false">
      <c r="A29" s="25" t="str">
        <f aca="false">'Account Summary'!A28</f>
        <v>Month 24</v>
      </c>
      <c r="B29" s="26" t="str">
        <f aca="false">IF('Account Summary'!B28="","",'Account Summary'!B28)</f>
        <v/>
      </c>
      <c r="C29" s="12" t="str">
        <f aca="false">IF(OR('Account Summary'!B28="",'Account Summary'!B27="",'Account Summary'!B27=0),"",('Account Summary'!B28-'Account Summary'!B27)/'Account Summary'!B27)</f>
        <v/>
      </c>
      <c r="D29" s="13" t="str">
        <f aca="false">IF('Account Summary'!D28="","",'Account Summary'!D28)</f>
        <v/>
      </c>
      <c r="E29" s="12" t="str">
        <f aca="false">IF(OR('Account Summary'!D28="",'Account Summary'!D27="",'Account Summary'!D27=0),"",('Account Summary'!D28-'Account Summary'!D27)/'Account Summary'!D27)</f>
        <v/>
      </c>
      <c r="F29" s="14" t="str">
        <f aca="false">IF('Account Summary'!E28="","",'Account Summary'!E28)</f>
        <v/>
      </c>
      <c r="G29" s="27" t="str">
        <f aca="false">IF(OR('Account Summary'!E28="",'Account Summary'!E27=""),"",'Account Summary'!E28-'Account Summary'!E27)</f>
        <v/>
      </c>
      <c r="H29" s="11" t="str">
        <f aca="false">IF('Account Summary'!F28="","",'Account Summary'!F28)</f>
        <v/>
      </c>
      <c r="I29" s="12" t="str">
        <f aca="false">IF(OR('Account Summary'!F28="",'Account Summary'!F27="",'Account Summary'!F27=0),"",('Account Summary'!F28-'Account Summary'!F27)/'Account Summary'!F27)</f>
        <v/>
      </c>
      <c r="J29" s="13" t="str">
        <f aca="false">IF('Account Summary'!G28="","",'Account Summary'!G28)</f>
        <v/>
      </c>
      <c r="K29" s="12" t="str">
        <f aca="false">IF(OR('Account Summary'!G28="",'Account Summary'!G27="",'Account Summary'!G27=0),"",('Account Summary'!G28-'Account Summary'!G27)/'Account Summary'!G27)</f>
        <v/>
      </c>
      <c r="L29" s="11" t="str">
        <f aca="false">IF('Account Summary'!I28="","",'Account Summary'!I28)</f>
        <v/>
      </c>
      <c r="M29" s="12" t="str">
        <f aca="false">IF(OR('Account Summary'!I28="",'Account Summary'!I27="",'Account Summary'!I27=0),"",('Account Summary'!I28-'Account Summary'!I27)/'Account Summary'!I27)</f>
        <v/>
      </c>
      <c r="N29" s="26" t="str">
        <f aca="false">IF('Account Summary'!H28="","",'Account Summary'!H28)</f>
        <v/>
      </c>
      <c r="O29" s="12" t="str">
        <f aca="false">IF(OR('Account Summary'!H28="",'Account Summary'!H27="",'Account Summary'!H27=0),"",('Account Summary'!H28-'Account Summary'!H27)/'Account Summary'!H27)</f>
        <v/>
      </c>
      <c r="P29" s="15" t="str">
        <f aca="false">IF('Account Summary'!K28="","",'Account Summary'!K28)</f>
        <v/>
      </c>
      <c r="Q29" s="12" t="str">
        <f aca="false">IF(OR('Account Summary'!K28="",'Account Summary'!K27="",'Account Summary'!K27=0),"",('Account Summary'!K28-'Account Summary'!K27)/'Account Summary'!K27)</f>
        <v/>
      </c>
    </row>
  </sheetData>
  <mergeCells count="11">
    <mergeCell ref="A1:Q1"/>
    <mergeCell ref="A2:Q2"/>
    <mergeCell ref="A4:A5"/>
    <mergeCell ref="B4:C4"/>
    <mergeCell ref="D4:E4"/>
    <mergeCell ref="F4:G4"/>
    <mergeCell ref="H4:I4"/>
    <mergeCell ref="J4:K4"/>
    <mergeCell ref="L4:M4"/>
    <mergeCell ref="N4:O4"/>
    <mergeCell ref="P4:Q4"/>
  </mergeCells>
  <conditionalFormatting sqref="C6:C29">
    <cfRule type="cellIs" priority="2" operator="greaterThan" aboveAverage="0" equalAverage="0" bottom="0" percent="0" rank="0" text="" dxfId="6">
      <formula>0</formula>
    </cfRule>
    <cfRule type="cellIs" priority="3" operator="lessThan" aboveAverage="0" equalAverage="0" bottom="0" percent="0" rank="0" text="" dxfId="7">
      <formula>0</formula>
    </cfRule>
  </conditionalFormatting>
  <conditionalFormatting sqref="E6:E29">
    <cfRule type="cellIs" priority="4" operator="greaterThan" aboveAverage="0" equalAverage="0" bottom="0" percent="0" rank="0" text="" dxfId="6">
      <formula>0</formula>
    </cfRule>
    <cfRule type="cellIs" priority="5" operator="lessThan" aboveAverage="0" equalAverage="0" bottom="0" percent="0" rank="0" text="" dxfId="7">
      <formula>0</formula>
    </cfRule>
  </conditionalFormatting>
  <conditionalFormatting sqref="G6:G29">
    <cfRule type="cellIs" priority="6" operator="greaterThan" aboveAverage="0" equalAverage="0" bottom="0" percent="0" rank="0" text="" dxfId="6">
      <formula>0</formula>
    </cfRule>
    <cfRule type="cellIs" priority="7" operator="lessThan" aboveAverage="0" equalAverage="0" bottom="0" percent="0" rank="0" text="" dxfId="7">
      <formula>0</formula>
    </cfRule>
  </conditionalFormatting>
  <conditionalFormatting sqref="I6:I29">
    <cfRule type="cellIs" priority="8" operator="greaterThan" aboveAverage="0" equalAverage="0" bottom="0" percent="0" rank="0" text="" dxfId="6">
      <formula>0</formula>
    </cfRule>
    <cfRule type="cellIs" priority="9" operator="lessThan" aboveAverage="0" equalAverage="0" bottom="0" percent="0" rank="0" text="" dxfId="7">
      <formula>0</formula>
    </cfRule>
  </conditionalFormatting>
  <conditionalFormatting sqref="K6:K29">
    <cfRule type="cellIs" priority="10" operator="greaterThan" aboveAverage="0" equalAverage="0" bottom="0" percent="0" rank="0" text="" dxfId="6">
      <formula>0</formula>
    </cfRule>
    <cfRule type="cellIs" priority="11" operator="lessThan" aboveAverage="0" equalAverage="0" bottom="0" percent="0" rank="0" text="" dxfId="7">
      <formula>0</formula>
    </cfRule>
  </conditionalFormatting>
  <conditionalFormatting sqref="M6:M29">
    <cfRule type="cellIs" priority="12" operator="greaterThan" aboveAverage="0" equalAverage="0" bottom="0" percent="0" rank="0" text="" dxfId="6">
      <formula>0</formula>
    </cfRule>
    <cfRule type="cellIs" priority="13" operator="lessThan" aboveAverage="0" equalAverage="0" bottom="0" percent="0" rank="0" text="" dxfId="7">
      <formula>0</formula>
    </cfRule>
  </conditionalFormatting>
  <conditionalFormatting sqref="O6:O29">
    <cfRule type="cellIs" priority="14" operator="greaterThan" aboveAverage="0" equalAverage="0" bottom="0" percent="0" rank="0" text="" dxfId="6">
      <formula>0</formula>
    </cfRule>
    <cfRule type="cellIs" priority="15" operator="lessThan" aboveAverage="0" equalAverage="0" bottom="0" percent="0" rank="0" text="" dxfId="7">
      <formula>0</formula>
    </cfRule>
  </conditionalFormatting>
  <conditionalFormatting sqref="Q6:Q29">
    <cfRule type="cellIs" priority="16" operator="greaterThan" aboveAverage="0" equalAverage="0" bottom="0" percent="0" rank="0" text="" dxfId="6">
      <formula>0</formula>
    </cfRule>
    <cfRule type="cellIs" priority="17" operator="lessThan" aboveAverage="0" equalAverage="0" bottom="0" percent="0" rank="0" text="" dxfId="7">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A651"/>
    <pageSetUpPr fitToPage="false"/>
  </sheetPr>
  <dimension ref="A1:O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2"/>
    <col collapsed="false" customWidth="true" hidden="false" outlineLevel="0" max="3" min="3" style="0" width="16"/>
    <col collapsed="false" customWidth="true" hidden="false" outlineLevel="0" max="4" min="4" style="0" width="12"/>
    <col collapsed="false" customWidth="true" hidden="false" outlineLevel="0" max="5" min="5" style="0" width="9"/>
    <col collapsed="false" customWidth="true" hidden="false" outlineLevel="0" max="6" min="6" style="0" width="8"/>
    <col collapsed="false" customWidth="true" hidden="false" outlineLevel="0" max="7" min="7" style="0" width="9"/>
    <col collapsed="false" customWidth="true" hidden="false" outlineLevel="0" max="8" min="8" style="0" width="10"/>
    <col collapsed="false" customWidth="true" hidden="false" outlineLevel="0" max="11" min="9" style="0" width="11"/>
    <col collapsed="false" customWidth="true" hidden="false" outlineLevel="0" max="12" min="12" style="0" width="9"/>
    <col collapsed="false" customWidth="true" hidden="false" outlineLevel="0" max="13" min="13" style="0" width="7"/>
    <col collapsed="false" customWidth="true" hidden="false" outlineLevel="0" max="14" min="14" style="0" width="14"/>
    <col collapsed="false" customWidth="true" hidden="false" outlineLevel="0" max="15" min="15" style="0" width="15"/>
  </cols>
  <sheetData>
    <row r="1" customFormat="false" ht="30" hidden="false" customHeight="true" outlineLevel="0" collapsed="false">
      <c r="A1" s="1" t="s">
        <v>69</v>
      </c>
      <c r="B1" s="1"/>
      <c r="C1" s="1"/>
      <c r="D1" s="1"/>
      <c r="E1" s="1"/>
      <c r="F1" s="1"/>
      <c r="G1" s="1"/>
      <c r="H1" s="1"/>
      <c r="I1" s="1"/>
      <c r="J1" s="1"/>
      <c r="K1" s="1"/>
      <c r="L1" s="1"/>
      <c r="M1" s="1"/>
      <c r="N1" s="1"/>
      <c r="O1" s="1"/>
    </row>
    <row r="2" customFormat="false" ht="18" hidden="false" customHeight="true" outlineLevel="0" collapsed="false">
      <c r="A2" s="2" t="s">
        <v>70</v>
      </c>
      <c r="B2" s="2"/>
      <c r="C2" s="2"/>
      <c r="D2" s="2"/>
      <c r="E2" s="2"/>
      <c r="F2" s="2"/>
      <c r="G2" s="2"/>
      <c r="H2" s="2"/>
      <c r="I2" s="2"/>
      <c r="J2" s="2"/>
      <c r="K2" s="2"/>
      <c r="L2" s="2"/>
      <c r="M2" s="2"/>
      <c r="N2" s="2"/>
      <c r="O2" s="2"/>
    </row>
    <row r="4" customFormat="false" ht="27.75" hidden="false" customHeight="true" outlineLevel="0" collapsed="false">
      <c r="A4" s="9" t="s">
        <v>37</v>
      </c>
      <c r="B4" s="9" t="s">
        <v>71</v>
      </c>
      <c r="C4" s="9" t="s">
        <v>72</v>
      </c>
      <c r="D4" s="9" t="s">
        <v>38</v>
      </c>
      <c r="E4" s="9" t="s">
        <v>26</v>
      </c>
      <c r="F4" s="9" t="s">
        <v>27</v>
      </c>
      <c r="G4" s="9" t="s">
        <v>28</v>
      </c>
      <c r="H4" s="9" t="s">
        <v>25</v>
      </c>
      <c r="I4" s="9" t="s">
        <v>29</v>
      </c>
      <c r="J4" s="9" t="s">
        <v>39</v>
      </c>
      <c r="K4" s="9" t="s">
        <v>30</v>
      </c>
      <c r="L4" s="9" t="s">
        <v>31</v>
      </c>
      <c r="M4" s="9" t="s">
        <v>32</v>
      </c>
      <c r="N4" s="9" t="s">
        <v>33</v>
      </c>
      <c r="O4" s="9" t="s">
        <v>73</v>
      </c>
    </row>
    <row r="5" customFormat="false" ht="15" hidden="false" customHeight="false" outlineLevel="0" collapsed="false">
      <c r="A5" s="17" t="s">
        <v>20</v>
      </c>
      <c r="B5" s="28" t="s">
        <v>74</v>
      </c>
      <c r="C5" s="8" t="s">
        <v>75</v>
      </c>
      <c r="D5" s="19" t="n">
        <v>42000</v>
      </c>
      <c r="E5" s="19" t="n">
        <v>3100</v>
      </c>
      <c r="F5" s="20" t="n">
        <f aca="false">IF(OR(D5="",D5=0),"",E5/D5)</f>
        <v>0.0738095238095238</v>
      </c>
      <c r="G5" s="21" t="n">
        <f aca="false">IF(OR(E5="",E5=0),"",H5/E5)</f>
        <v>0.580645161290323</v>
      </c>
      <c r="H5" s="18" t="n">
        <v>1800</v>
      </c>
      <c r="I5" s="19" t="n">
        <v>140</v>
      </c>
      <c r="J5" s="18" t="n">
        <v>9000</v>
      </c>
      <c r="K5" s="21" t="n">
        <f aca="false">IF(OR(I5="",I5=0),"",H5/I5)</f>
        <v>12.8571428571429</v>
      </c>
      <c r="L5" s="20" t="n">
        <f aca="false">IF(OR(E5="",E5=0),"",I5/E5)</f>
        <v>0.0451612903225806</v>
      </c>
      <c r="M5" s="22" t="n">
        <f aca="false">IF(OR(H5="",H5=0),"",J5/H5)</f>
        <v>5</v>
      </c>
      <c r="N5" s="23" t="n">
        <v>0.62</v>
      </c>
      <c r="O5" s="29" t="str">
        <f aca="false">IF(AND(H5&gt;0,N(I5)=0),"No conversions",IF(AND(F5&lt;&gt;"",F5&lt;0.01),"Low CTR",""))</f>
        <v/>
      </c>
    </row>
    <row r="6" customFormat="false" ht="15" hidden="false" customHeight="false" outlineLevel="0" collapsed="false">
      <c r="A6" s="17" t="s">
        <v>20</v>
      </c>
      <c r="B6" s="28" t="s">
        <v>76</v>
      </c>
      <c r="C6" s="8" t="s">
        <v>75</v>
      </c>
      <c r="D6" s="19" t="n">
        <v>96000</v>
      </c>
      <c r="E6" s="19" t="n">
        <v>2400</v>
      </c>
      <c r="F6" s="20" t="n">
        <f aca="false">IF(OR(D6="",D6=0),"",E6/D6)</f>
        <v>0.025</v>
      </c>
      <c r="G6" s="21" t="n">
        <f aca="false">IF(OR(E6="",E6=0),"",H6/E6)</f>
        <v>1.08333333333333</v>
      </c>
      <c r="H6" s="18" t="n">
        <v>2600</v>
      </c>
      <c r="I6" s="19" t="n">
        <v>18</v>
      </c>
      <c r="J6" s="18" t="n">
        <v>6500</v>
      </c>
      <c r="K6" s="21" t="n">
        <f aca="false">IF(OR(I6="",I6=0),"",H6/I6)</f>
        <v>144.444444444444</v>
      </c>
      <c r="L6" s="20" t="n">
        <f aca="false">IF(OR(E6="",E6=0),"",I6/E6)</f>
        <v>0.0075</v>
      </c>
      <c r="M6" s="22" t="n">
        <f aca="false">IF(OR(H6="",H6=0),"",J6/H6)</f>
        <v>2.5</v>
      </c>
      <c r="N6" s="23" t="n">
        <v>0.31</v>
      </c>
      <c r="O6" s="29" t="str">
        <f aca="false">IF(AND(H6&gt;0,N(I6)=0),"No conversions",IF(AND(F6&lt;&gt;"",F6&lt;0.01),"Low CTR",""))</f>
        <v/>
      </c>
    </row>
    <row r="7" customFormat="false" ht="15" hidden="false" customHeight="false" outlineLevel="0" collapsed="false">
      <c r="A7" s="17" t="s">
        <v>20</v>
      </c>
      <c r="B7" s="28" t="s">
        <v>77</v>
      </c>
      <c r="C7" s="8" t="s">
        <v>78</v>
      </c>
      <c r="D7" s="19" t="n">
        <v>210000</v>
      </c>
      <c r="E7" s="19" t="n">
        <v>4900</v>
      </c>
      <c r="F7" s="20" t="n">
        <f aca="false">IF(OR(D7="",D7=0),"",E7/D7)</f>
        <v>0.0233333333333333</v>
      </c>
      <c r="G7" s="21" t="n">
        <f aca="false">IF(OR(E7="",E7=0),"",H7/E7)</f>
        <v>0.306122448979592</v>
      </c>
      <c r="H7" s="18" t="n">
        <v>1500</v>
      </c>
      <c r="I7" s="19" t="n">
        <v>30</v>
      </c>
      <c r="J7" s="18" t="n">
        <v>7500</v>
      </c>
      <c r="K7" s="21" t="n">
        <f aca="false">IF(OR(I7="",I7=0),"",H7/I7)</f>
        <v>50</v>
      </c>
      <c r="L7" s="20" t="n">
        <f aca="false">IF(OR(E7="",E7=0),"",I7/E7)</f>
        <v>0.00612244897959184</v>
      </c>
      <c r="M7" s="22" t="n">
        <f aca="false">IF(OR(H7="",H7=0),"",J7/H7)</f>
        <v>5</v>
      </c>
      <c r="N7" s="23" t="n">
        <v>0.55</v>
      </c>
      <c r="O7" s="29" t="str">
        <f aca="false">IF(AND(H7&gt;0,N(I7)=0),"No conversions",IF(AND(F7&lt;&gt;"",F7&lt;0.01),"Low CTR",""))</f>
        <v/>
      </c>
    </row>
    <row r="8" customFormat="false" ht="15" hidden="false" customHeight="false" outlineLevel="0" collapsed="false">
      <c r="A8" s="17" t="s">
        <v>20</v>
      </c>
      <c r="B8" s="28" t="s">
        <v>79</v>
      </c>
      <c r="C8" s="8" t="s">
        <v>80</v>
      </c>
      <c r="D8" s="19" t="n">
        <v>380000</v>
      </c>
      <c r="E8" s="19" t="n">
        <v>900</v>
      </c>
      <c r="F8" s="20" t="n">
        <f aca="false">IF(OR(D8="",D8=0),"",E8/D8)</f>
        <v>0.00236842105263158</v>
      </c>
      <c r="G8" s="21" t="n">
        <f aca="false">IF(OR(E8="",E8=0),"",H8/E8)</f>
        <v>0.444444444444444</v>
      </c>
      <c r="H8" s="18" t="n">
        <v>400</v>
      </c>
      <c r="I8" s="19" t="n">
        <v>4</v>
      </c>
      <c r="J8" s="18" t="n">
        <v>1200</v>
      </c>
      <c r="K8" s="21" t="n">
        <f aca="false">IF(OR(I8="",I8=0),"",H8/I8)</f>
        <v>100</v>
      </c>
      <c r="L8" s="20" t="n">
        <f aca="false">IF(OR(E8="",E8=0),"",I8/E8)</f>
        <v>0.00444444444444444</v>
      </c>
      <c r="M8" s="22" t="n">
        <f aca="false">IF(OR(H8="",H8=0),"",J8/H8)</f>
        <v>3</v>
      </c>
      <c r="N8" s="23" t="n">
        <v>0.2</v>
      </c>
      <c r="O8" s="29" t="str">
        <f aca="false">IF(AND(H8&gt;0,N(I8)=0),"No conversions",IF(AND(F8&lt;&gt;"",F8&lt;0.01),"Low CTR",""))</f>
        <v>Low CTR</v>
      </c>
    </row>
    <row r="9" customFormat="false" ht="15" hidden="false" customHeight="false" outlineLevel="0" collapsed="false">
      <c r="A9" s="17" t="s">
        <v>20</v>
      </c>
      <c r="B9" s="28" t="s">
        <v>81</v>
      </c>
      <c r="C9" s="8" t="s">
        <v>82</v>
      </c>
      <c r="D9" s="19" t="n">
        <v>520000</v>
      </c>
      <c r="E9" s="19" t="n">
        <v>1200</v>
      </c>
      <c r="F9" s="20" t="n">
        <f aca="false">IF(OR(D9="",D9=0),"",E9/D9)</f>
        <v>0.00230769230769231</v>
      </c>
      <c r="G9" s="21" t="n">
        <f aca="false">IF(OR(E9="",E9=0),"",H9/E9)</f>
        <v>0.25</v>
      </c>
      <c r="H9" s="18" t="n">
        <v>300</v>
      </c>
      <c r="I9" s="19" t="n">
        <v>0</v>
      </c>
      <c r="J9" s="18" t="n">
        <v>0</v>
      </c>
      <c r="K9" s="21" t="str">
        <f aca="false">IF(OR(I9="",I9=0),"",H9/I9)</f>
        <v/>
      </c>
      <c r="L9" s="20" t="n">
        <f aca="false">IF(OR(E9="",E9=0),"",I9/E9)</f>
        <v>0</v>
      </c>
      <c r="M9" s="22" t="n">
        <f aca="false">IF(OR(H9="",H9=0),"",J9/H9)</f>
        <v>0</v>
      </c>
      <c r="N9" s="23" t="n">
        <v>0.1</v>
      </c>
      <c r="O9" s="29" t="str">
        <f aca="false">IF(AND(H9&gt;0,N(I9)=0),"No conversions",IF(AND(F9&lt;&gt;"",F9&lt;0.01),"Low CTR",""))</f>
        <v>No conversions</v>
      </c>
    </row>
    <row r="11" customFormat="false" ht="45.75" hidden="false" customHeight="true" outlineLevel="0" collapsed="false">
      <c r="A11" s="30" t="s">
        <v>83</v>
      </c>
      <c r="B11" s="30"/>
      <c r="C11" s="30"/>
      <c r="D11" s="30"/>
      <c r="E11" s="30"/>
      <c r="F11" s="30"/>
      <c r="G11" s="30"/>
      <c r="H11" s="30"/>
      <c r="I11" s="30"/>
      <c r="J11" s="30"/>
      <c r="K11" s="30"/>
      <c r="L11" s="30"/>
      <c r="M11" s="30"/>
      <c r="N11" s="30"/>
      <c r="O11" s="30"/>
    </row>
    <row r="12" customFormat="false" ht="15" hidden="false" customHeight="false" outlineLevel="0" collapsed="false">
      <c r="A12" s="30"/>
      <c r="B12" s="30"/>
      <c r="C12" s="30"/>
      <c r="D12" s="30"/>
      <c r="E12" s="30"/>
      <c r="F12" s="30"/>
      <c r="G12" s="30"/>
      <c r="H12" s="30"/>
      <c r="I12" s="30"/>
      <c r="J12" s="30"/>
      <c r="K12" s="30"/>
      <c r="L12" s="30"/>
      <c r="M12" s="30"/>
      <c r="N12" s="30"/>
      <c r="O12" s="30"/>
    </row>
    <row r="13" customFormat="false" ht="15" hidden="false" customHeight="false" outlineLevel="0" collapsed="false">
      <c r="A13" s="30"/>
      <c r="B13" s="30"/>
      <c r="C13" s="30"/>
      <c r="D13" s="30"/>
      <c r="E13" s="30"/>
      <c r="F13" s="30"/>
      <c r="G13" s="30"/>
      <c r="H13" s="30"/>
      <c r="I13" s="30"/>
      <c r="J13" s="30"/>
      <c r="K13" s="30"/>
      <c r="L13" s="30"/>
      <c r="M13" s="30"/>
      <c r="N13" s="30"/>
      <c r="O13" s="30"/>
    </row>
  </sheetData>
  <autoFilter ref="A4:O9"/>
  <mergeCells count="3">
    <mergeCell ref="A1:O1"/>
    <mergeCell ref="A2:O2"/>
    <mergeCell ref="A11:O13"/>
  </mergeCells>
  <conditionalFormatting sqref="O5:O9">
    <cfRule type="cellIs" priority="2" operator="equal" aboveAverage="0" equalAverage="0" bottom="0" percent="0" rank="0" text="" dxfId="12">
      <formula>"No conversions"</formula>
    </cfRule>
    <cfRule type="cellIs" priority="3" operator="equal" aboveAverage="0" equalAverage="0" bottom="0" percent="0" rank="0" text="" dxfId="13">
      <formula>"Low CTR"</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A651"/>
    <pageSetUpPr fitToPage="false"/>
  </sheetPr>
  <dimension ref="A1:K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2"/>
    <col collapsed="false" customWidth="true" hidden="false" outlineLevel="0" max="3" min="3" style="0" width="9"/>
    <col collapsed="false" customWidth="true" hidden="false" outlineLevel="0" max="4" min="4" style="0" width="8"/>
    <col collapsed="false" customWidth="true" hidden="false" outlineLevel="0" max="5" min="5" style="0" width="10"/>
    <col collapsed="false" customWidth="true" hidden="false" outlineLevel="0" max="6" min="6" style="0" width="11"/>
    <col collapsed="false" customWidth="true" hidden="false" outlineLevel="0" max="9" min="7" style="0" width="12"/>
    <col collapsed="false" customWidth="true" hidden="false" outlineLevel="0" max="10" min="10" style="0" width="7"/>
    <col collapsed="false" customWidth="true" hidden="false" outlineLevel="0" max="11" min="11" style="0" width="13"/>
  </cols>
  <sheetData>
    <row r="1" customFormat="false" ht="30" hidden="false" customHeight="true" outlineLevel="0" collapsed="false">
      <c r="A1" s="1" t="s">
        <v>84</v>
      </c>
      <c r="B1" s="1"/>
      <c r="C1" s="1"/>
      <c r="D1" s="1"/>
      <c r="E1" s="1"/>
      <c r="F1" s="1"/>
      <c r="G1" s="1"/>
      <c r="H1" s="1"/>
      <c r="I1" s="1"/>
      <c r="J1" s="1"/>
      <c r="K1" s="1"/>
    </row>
    <row r="2" customFormat="false" ht="18" hidden="false" customHeight="true" outlineLevel="0" collapsed="false">
      <c r="A2" s="2" t="s">
        <v>85</v>
      </c>
      <c r="B2" s="2"/>
      <c r="C2" s="2"/>
      <c r="D2" s="2"/>
      <c r="E2" s="2"/>
      <c r="F2" s="2"/>
      <c r="G2" s="2"/>
      <c r="H2" s="2"/>
      <c r="I2" s="2"/>
      <c r="J2" s="2"/>
      <c r="K2" s="2"/>
    </row>
    <row r="4" customFormat="false" ht="27.75" hidden="false" customHeight="true" outlineLevel="0" collapsed="false">
      <c r="A4" s="9" t="s">
        <v>72</v>
      </c>
      <c r="B4" s="9" t="s">
        <v>38</v>
      </c>
      <c r="C4" s="9" t="s">
        <v>26</v>
      </c>
      <c r="D4" s="9" t="s">
        <v>27</v>
      </c>
      <c r="E4" s="9" t="s">
        <v>28</v>
      </c>
      <c r="F4" s="9" t="s">
        <v>25</v>
      </c>
      <c r="G4" s="9" t="s">
        <v>29</v>
      </c>
      <c r="H4" s="9" t="s">
        <v>39</v>
      </c>
      <c r="I4" s="9" t="s">
        <v>30</v>
      </c>
      <c r="J4" s="9" t="s">
        <v>32</v>
      </c>
      <c r="K4" s="9" t="s">
        <v>86</v>
      </c>
    </row>
    <row r="5" customFormat="false" ht="15" hidden="false" customHeight="false" outlineLevel="0" collapsed="false">
      <c r="A5" s="17" t="s">
        <v>75</v>
      </c>
      <c r="B5" s="19" t="n">
        <v>138000</v>
      </c>
      <c r="C5" s="19" t="n">
        <v>5500</v>
      </c>
      <c r="D5" s="20" t="n">
        <f aca="false">IF(OR(B5="",B5=0),"",C5/B5)</f>
        <v>0.0398550724637681</v>
      </c>
      <c r="E5" s="21" t="n">
        <f aca="false">IF(OR(C5="",C5=0),"",F5/C5)</f>
        <v>4.36363636363636</v>
      </c>
      <c r="F5" s="18" t="n">
        <v>24000</v>
      </c>
      <c r="G5" s="19" t="n">
        <v>158</v>
      </c>
      <c r="H5" s="18" t="n">
        <v>73000</v>
      </c>
      <c r="I5" s="21" t="n">
        <f aca="false">IF(OR(G5="",G5=0),"",F5/G5)</f>
        <v>151.898734177215</v>
      </c>
      <c r="J5" s="22" t="n">
        <f aca="false">IF(OR(F5="",F5=0),"",H5/F5)</f>
        <v>3.04166666666667</v>
      </c>
      <c r="K5" s="31" t="n">
        <f aca="false">IF(SUM($F$5:$F$9)=0,"",F5/SUM($F$5:$F$9))</f>
        <v>0.396694214876033</v>
      </c>
    </row>
    <row r="6" customFormat="false" ht="15" hidden="false" customHeight="false" outlineLevel="0" collapsed="false">
      <c r="A6" s="17" t="s">
        <v>78</v>
      </c>
      <c r="B6" s="19" t="n">
        <v>210000</v>
      </c>
      <c r="C6" s="19" t="n">
        <v>4900</v>
      </c>
      <c r="D6" s="20" t="n">
        <f aca="false">IF(OR(B6="",B6=0),"",C6/B6)</f>
        <v>0.0233333333333333</v>
      </c>
      <c r="E6" s="21" t="n">
        <f aca="false">IF(OR(C6="",C6=0),"",F6/C6)</f>
        <v>3.6734693877551</v>
      </c>
      <c r="F6" s="18" t="n">
        <v>18000</v>
      </c>
      <c r="G6" s="19" t="n">
        <v>30</v>
      </c>
      <c r="H6" s="18" t="n">
        <v>68000</v>
      </c>
      <c r="I6" s="21" t="n">
        <f aca="false">IF(OR(G6="",G6=0),"",F6/G6)</f>
        <v>600</v>
      </c>
      <c r="J6" s="22" t="n">
        <f aca="false">IF(OR(F6="",F6=0),"",H6/F6)</f>
        <v>3.77777777777778</v>
      </c>
      <c r="K6" s="31" t="n">
        <f aca="false">IF(SUM($F$5:$F$9)=0,"",F6/SUM($F$5:$F$9))</f>
        <v>0.297520661157025</v>
      </c>
    </row>
    <row r="7" customFormat="false" ht="15" hidden="false" customHeight="false" outlineLevel="0" collapsed="false">
      <c r="A7" s="17" t="s">
        <v>80</v>
      </c>
      <c r="B7" s="19" t="n">
        <v>380000</v>
      </c>
      <c r="C7" s="19" t="n">
        <v>900</v>
      </c>
      <c r="D7" s="20" t="n">
        <f aca="false">IF(OR(B7="",B7=0),"",C7/B7)</f>
        <v>0.00236842105263158</v>
      </c>
      <c r="E7" s="21" t="n">
        <f aca="false">IF(OR(C7="",C7=0),"",F7/C7)</f>
        <v>4.44444444444445</v>
      </c>
      <c r="F7" s="18" t="n">
        <v>4000</v>
      </c>
      <c r="G7" s="19" t="n">
        <v>4</v>
      </c>
      <c r="H7" s="18" t="n">
        <v>5000</v>
      </c>
      <c r="I7" s="21" t="n">
        <f aca="false">IF(OR(G7="",G7=0),"",F7/G7)</f>
        <v>1000</v>
      </c>
      <c r="J7" s="22" t="n">
        <f aca="false">IF(OR(F7="",F7=0),"",H7/F7)</f>
        <v>1.25</v>
      </c>
      <c r="K7" s="31" t="n">
        <f aca="false">IF(SUM($F$5:$F$9)=0,"",F7/SUM($F$5:$F$9))</f>
        <v>0.0661157024793388</v>
      </c>
    </row>
    <row r="8" customFormat="false" ht="15" hidden="false" customHeight="false" outlineLevel="0" collapsed="false">
      <c r="A8" s="17" t="s">
        <v>82</v>
      </c>
      <c r="B8" s="19" t="n">
        <v>520000</v>
      </c>
      <c r="C8" s="19" t="n">
        <v>1200</v>
      </c>
      <c r="D8" s="20" t="n">
        <f aca="false">IF(OR(B8="",B8=0),"",C8/B8)</f>
        <v>0.00230769230769231</v>
      </c>
      <c r="E8" s="21" t="n">
        <f aca="false">IF(OR(C8="",C8=0),"",F8/C8)</f>
        <v>2.91666666666667</v>
      </c>
      <c r="F8" s="18" t="n">
        <v>3500</v>
      </c>
      <c r="G8" s="19" t="n">
        <v>0</v>
      </c>
      <c r="H8" s="18" t="n">
        <v>0</v>
      </c>
      <c r="I8" s="21" t="str">
        <f aca="false">IF(OR(G8="",G8=0),"",F8/G8)</f>
        <v/>
      </c>
      <c r="J8" s="22" t="n">
        <f aca="false">IF(OR(F8="",F8=0),"",H8/F8)</f>
        <v>0</v>
      </c>
      <c r="K8" s="31" t="n">
        <f aca="false">IF(SUM($F$5:$F$9)=0,"",F8/SUM($F$5:$F$9))</f>
        <v>0.0578512396694215</v>
      </c>
    </row>
    <row r="9" customFormat="false" ht="15" hidden="false" customHeight="false" outlineLevel="0" collapsed="false">
      <c r="A9" s="17" t="s">
        <v>87</v>
      </c>
      <c r="B9" s="19" t="n">
        <v>90000</v>
      </c>
      <c r="C9" s="19" t="n">
        <v>2100</v>
      </c>
      <c r="D9" s="20" t="n">
        <f aca="false">IF(OR(B9="",B9=0),"",C9/B9)</f>
        <v>0.0233333333333333</v>
      </c>
      <c r="E9" s="21" t="n">
        <f aca="false">IF(OR(C9="",C9=0),"",F9/C9)</f>
        <v>5.23809523809524</v>
      </c>
      <c r="F9" s="18" t="n">
        <v>11000</v>
      </c>
      <c r="G9" s="19" t="n">
        <v>61</v>
      </c>
      <c r="H9" s="18" t="n">
        <v>42000</v>
      </c>
      <c r="I9" s="21" t="n">
        <f aca="false">IF(OR(G9="",G9=0),"",F9/G9)</f>
        <v>180.327868852459</v>
      </c>
      <c r="J9" s="22" t="n">
        <f aca="false">IF(OR(F9="",F9=0),"",H9/F9)</f>
        <v>3.81818181818182</v>
      </c>
      <c r="K9" s="31" t="n">
        <f aca="false">IF(SUM($F$5:$F$9)=0,"",F9/SUM($F$5:$F$9))</f>
        <v>0.181818181818182</v>
      </c>
    </row>
    <row r="11" customFormat="false" ht="45.75" hidden="false" customHeight="true" outlineLevel="0" collapsed="false">
      <c r="A11" s="16" t="s">
        <v>88</v>
      </c>
      <c r="B11" s="16"/>
      <c r="C11" s="16"/>
      <c r="D11" s="16"/>
      <c r="E11" s="16"/>
      <c r="F11" s="16"/>
      <c r="G11" s="16"/>
      <c r="H11" s="16"/>
      <c r="I11" s="16"/>
      <c r="J11" s="16"/>
      <c r="K11" s="16"/>
    </row>
    <row r="12" customFormat="false" ht="15" hidden="false" customHeight="false" outlineLevel="0" collapsed="false">
      <c r="A12" s="16"/>
      <c r="B12" s="16"/>
      <c r="C12" s="16"/>
      <c r="D12" s="16"/>
      <c r="E12" s="16"/>
      <c r="F12" s="16"/>
      <c r="G12" s="16"/>
      <c r="H12" s="16"/>
      <c r="I12" s="16"/>
      <c r="J12" s="16"/>
      <c r="K12" s="16"/>
    </row>
    <row r="13" customFormat="false" ht="15" hidden="false" customHeight="false" outlineLevel="0" collapsed="false">
      <c r="A13" s="16"/>
      <c r="B13" s="16"/>
      <c r="C13" s="16"/>
      <c r="D13" s="16"/>
      <c r="E13" s="16"/>
      <c r="F13" s="16"/>
      <c r="G13" s="16"/>
      <c r="H13" s="16"/>
      <c r="I13" s="16"/>
      <c r="J13" s="16"/>
      <c r="K13" s="16"/>
    </row>
  </sheetData>
  <autoFilter ref="A4:K9"/>
  <mergeCells count="3">
    <mergeCell ref="A1:K1"/>
    <mergeCell ref="A2:K2"/>
    <mergeCell ref="A11:K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A651"/>
    <pageSetUpPr fitToPage="false"/>
  </sheetPr>
  <dimension ref="A1:J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2" min="1" style="0" width="12"/>
    <col collapsed="false" customWidth="true" hidden="false" outlineLevel="0" max="3" min="3" style="0" width="9"/>
    <col collapsed="false" customWidth="true" hidden="false" outlineLevel="0" max="4" min="4" style="0" width="8"/>
    <col collapsed="false" customWidth="true" hidden="false" outlineLevel="0" max="5" min="5" style="0" width="10"/>
    <col collapsed="false" customWidth="true" hidden="false" outlineLevel="0" max="6" min="6" style="0" width="11"/>
    <col collapsed="false" customWidth="true" hidden="false" outlineLevel="0" max="8" min="7" style="0" width="12"/>
    <col collapsed="false" customWidth="true" hidden="false" outlineLevel="0" max="9" min="9" style="0" width="10"/>
  </cols>
  <sheetData>
    <row r="1" customFormat="false" ht="30" hidden="false" customHeight="true" outlineLevel="0" collapsed="false">
      <c r="A1" s="1" t="s">
        <v>89</v>
      </c>
      <c r="B1" s="1"/>
      <c r="C1" s="1"/>
      <c r="D1" s="1"/>
      <c r="E1" s="1"/>
      <c r="F1" s="1"/>
      <c r="G1" s="1"/>
      <c r="H1" s="1"/>
      <c r="I1" s="1"/>
      <c r="J1" s="1"/>
    </row>
    <row r="2" customFormat="false" ht="18" hidden="false" customHeight="true" outlineLevel="0" collapsed="false">
      <c r="A2" s="2" t="s">
        <v>90</v>
      </c>
      <c r="B2" s="2"/>
      <c r="C2" s="2"/>
      <c r="D2" s="2"/>
      <c r="E2" s="2"/>
      <c r="F2" s="2"/>
      <c r="G2" s="2"/>
      <c r="H2" s="2"/>
      <c r="I2" s="2"/>
      <c r="J2" s="2"/>
    </row>
    <row r="4" customFormat="false" ht="27.75" hidden="false" customHeight="true" outlineLevel="0" collapsed="false">
      <c r="A4" s="9" t="s">
        <v>91</v>
      </c>
      <c r="B4" s="9" t="s">
        <v>38</v>
      </c>
      <c r="C4" s="9" t="s">
        <v>26</v>
      </c>
      <c r="D4" s="9" t="s">
        <v>27</v>
      </c>
      <c r="E4" s="9" t="s">
        <v>28</v>
      </c>
      <c r="F4" s="9" t="s">
        <v>25</v>
      </c>
      <c r="G4" s="9" t="s">
        <v>29</v>
      </c>
      <c r="H4" s="9" t="s">
        <v>30</v>
      </c>
      <c r="I4" s="9" t="s">
        <v>31</v>
      </c>
    </row>
    <row r="5" customFormat="false" ht="15" hidden="false" customHeight="false" outlineLevel="0" collapsed="false">
      <c r="A5" s="17" t="s">
        <v>92</v>
      </c>
      <c r="B5" s="19" t="n">
        <v>520000</v>
      </c>
      <c r="C5" s="19" t="n">
        <v>7200</v>
      </c>
      <c r="D5" s="20" t="n">
        <f aca="false">IF(OR(B5="",B5=0),"",C5/B5)</f>
        <v>0.0138461538461538</v>
      </c>
      <c r="E5" s="21" t="n">
        <f aca="false">IF(OR(C5="",C5=0),"",F5/C5)</f>
        <v>4.16666666666667</v>
      </c>
      <c r="F5" s="18" t="n">
        <v>30000</v>
      </c>
      <c r="G5" s="19" t="n">
        <v>52</v>
      </c>
      <c r="H5" s="21" t="n">
        <f aca="false">IF(OR(G5="",G5=0),"",F5/G5)</f>
        <v>576.923076923077</v>
      </c>
      <c r="I5" s="20" t="n">
        <f aca="false">IF(OR(C5="",C5=0),"",G5/C5)</f>
        <v>0.00722222222222222</v>
      </c>
    </row>
    <row r="6" customFormat="false" ht="15" hidden="false" customHeight="false" outlineLevel="0" collapsed="false">
      <c r="A6" s="17" t="s">
        <v>93</v>
      </c>
      <c r="B6" s="19" t="n">
        <v>260000</v>
      </c>
      <c r="C6" s="19" t="n">
        <v>4100</v>
      </c>
      <c r="D6" s="20" t="n">
        <f aca="false">IF(OR(B6="",B6=0),"",C6/B6)</f>
        <v>0.0157692307692308</v>
      </c>
      <c r="E6" s="21" t="n">
        <f aca="false">IF(OR(C6="",C6=0),"",F6/C6)</f>
        <v>6.82926829268293</v>
      </c>
      <c r="F6" s="18" t="n">
        <v>28000</v>
      </c>
      <c r="G6" s="19" t="n">
        <v>70</v>
      </c>
      <c r="H6" s="21" t="n">
        <f aca="false">IF(OR(G6="",G6=0),"",F6/G6)</f>
        <v>400</v>
      </c>
      <c r="I6" s="20" t="n">
        <f aca="false">IF(OR(C6="",C6=0),"",G6/C6)</f>
        <v>0.0170731707317073</v>
      </c>
    </row>
    <row r="7" customFormat="false" ht="15" hidden="false" customHeight="false" outlineLevel="0" collapsed="false">
      <c r="A7" s="17" t="s">
        <v>94</v>
      </c>
      <c r="B7" s="19" t="n">
        <v>40000</v>
      </c>
      <c r="C7" s="19" t="n">
        <v>500</v>
      </c>
      <c r="D7" s="20" t="n">
        <f aca="false">IF(OR(B7="",B7=0),"",C7/B7)</f>
        <v>0.0125</v>
      </c>
      <c r="E7" s="21" t="n">
        <f aca="false">IF(OR(C7="",C7=0),"",F7/C7)</f>
        <v>8</v>
      </c>
      <c r="F7" s="18" t="n">
        <v>4000</v>
      </c>
      <c r="G7" s="19" t="n">
        <v>5</v>
      </c>
      <c r="H7" s="21" t="n">
        <f aca="false">IF(OR(G7="",G7=0),"",F7/G7)</f>
        <v>800</v>
      </c>
      <c r="I7" s="20" t="n">
        <f aca="false">IF(OR(C7="",C7=0),"",G7/C7)</f>
        <v>0.01</v>
      </c>
    </row>
    <row r="9" customFormat="false" ht="45.75" hidden="false" customHeight="true" outlineLevel="0" collapsed="false">
      <c r="A9" s="16" t="s">
        <v>95</v>
      </c>
      <c r="B9" s="16"/>
      <c r="C9" s="16"/>
      <c r="D9" s="16"/>
      <c r="E9" s="16"/>
      <c r="F9" s="16"/>
      <c r="G9" s="16"/>
      <c r="H9" s="16"/>
      <c r="I9" s="16"/>
    </row>
    <row r="10" customFormat="false" ht="15" hidden="false" customHeight="false" outlineLevel="0" collapsed="false">
      <c r="A10" s="16"/>
      <c r="B10" s="16"/>
      <c r="C10" s="16"/>
      <c r="D10" s="16"/>
      <c r="E10" s="16"/>
      <c r="F10" s="16"/>
      <c r="G10" s="16"/>
      <c r="H10" s="16"/>
      <c r="I10" s="16"/>
    </row>
    <row r="11" customFormat="false" ht="15" hidden="false" customHeight="false" outlineLevel="0" collapsed="false">
      <c r="A11" s="16"/>
      <c r="B11" s="16"/>
      <c r="C11" s="16"/>
      <c r="D11" s="16"/>
      <c r="E11" s="16"/>
      <c r="F11" s="16"/>
      <c r="G11" s="16"/>
      <c r="H11" s="16"/>
      <c r="I11" s="16"/>
    </row>
  </sheetData>
  <autoFilter ref="A4:I7"/>
  <mergeCells count="3">
    <mergeCell ref="A1:J1"/>
    <mergeCell ref="A2:J2"/>
    <mergeCell ref="A9:I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A651"/>
    <pageSetUpPr fitToPage="false"/>
  </sheetPr>
  <dimension ref="A1:I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22"/>
    <col collapsed="false" customWidth="true" hidden="false" outlineLevel="0" max="3" min="3" style="0" width="12"/>
    <col collapsed="false" customWidth="true" hidden="false" outlineLevel="0" max="4" min="4" style="0" width="9"/>
    <col collapsed="false" customWidth="true" hidden="false" outlineLevel="0" max="5" min="5" style="0" width="8"/>
    <col collapsed="false" customWidth="true" hidden="false" outlineLevel="0" max="6" min="6" style="0" width="9"/>
    <col collapsed="false" customWidth="true" hidden="false" outlineLevel="0" max="8" min="7" style="0" width="12"/>
    <col collapsed="false" customWidth="true" hidden="false" outlineLevel="0" max="9" min="9" style="0" width="16"/>
  </cols>
  <sheetData>
    <row r="1" customFormat="false" ht="30" hidden="false" customHeight="true" outlineLevel="0" collapsed="false">
      <c r="A1" s="1" t="s">
        <v>96</v>
      </c>
      <c r="B1" s="1"/>
      <c r="C1" s="1"/>
      <c r="D1" s="1"/>
      <c r="E1" s="1"/>
      <c r="F1" s="1"/>
      <c r="G1" s="1"/>
      <c r="H1" s="1"/>
      <c r="I1" s="1"/>
    </row>
    <row r="2" customFormat="false" ht="18" hidden="false" customHeight="true" outlineLevel="0" collapsed="false">
      <c r="A2" s="2" t="s">
        <v>97</v>
      </c>
      <c r="B2" s="2"/>
      <c r="C2" s="2"/>
      <c r="D2" s="2"/>
      <c r="E2" s="2"/>
      <c r="F2" s="2"/>
      <c r="G2" s="2"/>
      <c r="H2" s="2"/>
      <c r="I2" s="2"/>
    </row>
    <row r="4" customFormat="false" ht="27.75" hidden="false" customHeight="true" outlineLevel="0" collapsed="false">
      <c r="A4" s="9" t="s">
        <v>98</v>
      </c>
      <c r="B4" s="9" t="s">
        <v>99</v>
      </c>
      <c r="C4" s="9" t="s">
        <v>38</v>
      </c>
      <c r="D4" s="9" t="s">
        <v>26</v>
      </c>
      <c r="E4" s="9" t="s">
        <v>27</v>
      </c>
      <c r="F4" s="9" t="s">
        <v>25</v>
      </c>
      <c r="G4" s="9" t="s">
        <v>29</v>
      </c>
      <c r="H4" s="9" t="s">
        <v>30</v>
      </c>
      <c r="I4" s="9" t="s">
        <v>100</v>
      </c>
    </row>
    <row r="5" customFormat="false" ht="15" hidden="false" customHeight="false" outlineLevel="0" collapsed="false">
      <c r="A5" s="17" t="s">
        <v>101</v>
      </c>
      <c r="B5" s="28" t="s">
        <v>76</v>
      </c>
      <c r="C5" s="19" t="n">
        <v>1800</v>
      </c>
      <c r="D5" s="19" t="n">
        <v>140</v>
      </c>
      <c r="E5" s="20" t="n">
        <f aca="false">IF(OR(C5="",C5=0),"",D5/C5)</f>
        <v>0.0777777777777778</v>
      </c>
      <c r="F5" s="18" t="n">
        <v>520</v>
      </c>
      <c r="G5" s="19" t="n">
        <v>9</v>
      </c>
      <c r="H5" s="21" t="n">
        <f aca="false">IF(OR(G5="",G5=0),"",F5/G5)</f>
        <v>57.7777777777778</v>
      </c>
      <c r="I5" s="32" t="s">
        <v>102</v>
      </c>
    </row>
    <row r="6" customFormat="false" ht="15" hidden="false" customHeight="false" outlineLevel="0" collapsed="false">
      <c r="A6" s="17" t="s">
        <v>103</v>
      </c>
      <c r="B6" s="28" t="s">
        <v>74</v>
      </c>
      <c r="C6" s="19" t="n">
        <v>900</v>
      </c>
      <c r="D6" s="19" t="n">
        <v>210</v>
      </c>
      <c r="E6" s="20" t="n">
        <f aca="false">IF(OR(C6="",C6=0),"",D6/C6)</f>
        <v>0.233333333333333</v>
      </c>
      <c r="F6" s="18" t="n">
        <v>140</v>
      </c>
      <c r="G6" s="19" t="n">
        <v>12</v>
      </c>
      <c r="H6" s="21" t="n">
        <f aca="false">IF(OR(G6="",G6=0),"",F6/G6)</f>
        <v>11.6666666666667</v>
      </c>
      <c r="I6" s="32" t="s">
        <v>104</v>
      </c>
    </row>
    <row r="7" customFormat="false" ht="15" hidden="false" customHeight="false" outlineLevel="0" collapsed="false">
      <c r="A7" s="17" t="s">
        <v>105</v>
      </c>
      <c r="B7" s="28" t="s">
        <v>76</v>
      </c>
      <c r="C7" s="19" t="n">
        <v>2600</v>
      </c>
      <c r="D7" s="19" t="n">
        <v>180</v>
      </c>
      <c r="E7" s="20" t="n">
        <f aca="false">IF(OR(C7="",C7=0),"",D7/C7)</f>
        <v>0.0692307692307692</v>
      </c>
      <c r="F7" s="18" t="n">
        <v>300</v>
      </c>
      <c r="G7" s="19" t="n">
        <v>0</v>
      </c>
      <c r="H7" s="21" t="str">
        <f aca="false">IF(OR(G7="",G7=0),"",F7/G7)</f>
        <v/>
      </c>
      <c r="I7" s="32" t="s">
        <v>106</v>
      </c>
    </row>
    <row r="8" customFormat="false" ht="15" hidden="false" customHeight="false" outlineLevel="0" collapsed="false">
      <c r="A8" s="17" t="s">
        <v>107</v>
      </c>
      <c r="B8" s="28" t="s">
        <v>76</v>
      </c>
      <c r="C8" s="19" t="n">
        <v>1200</v>
      </c>
      <c r="D8" s="19" t="n">
        <v>90</v>
      </c>
      <c r="E8" s="20" t="n">
        <f aca="false">IF(OR(C8="",C8=0),"",D8/C8)</f>
        <v>0.075</v>
      </c>
      <c r="F8" s="18" t="n">
        <v>260</v>
      </c>
      <c r="G8" s="19" t="n">
        <v>3</v>
      </c>
      <c r="H8" s="21" t="n">
        <f aca="false">IF(OR(G8="",G8=0),"",F8/G8)</f>
        <v>86.6666666666667</v>
      </c>
      <c r="I8" s="32" t="s">
        <v>104</v>
      </c>
    </row>
    <row r="10" customFormat="false" ht="45.75" hidden="false" customHeight="true" outlineLevel="0" collapsed="false">
      <c r="A10" s="30" t="s">
        <v>108</v>
      </c>
      <c r="B10" s="30"/>
      <c r="C10" s="30"/>
      <c r="D10" s="30"/>
      <c r="E10" s="30"/>
      <c r="F10" s="30"/>
      <c r="G10" s="30"/>
      <c r="H10" s="30"/>
      <c r="I10" s="30"/>
    </row>
    <row r="11" customFormat="false" ht="15" hidden="false" customHeight="false" outlineLevel="0" collapsed="false">
      <c r="A11" s="30"/>
      <c r="B11" s="30"/>
      <c r="C11" s="30"/>
      <c r="D11" s="30"/>
      <c r="E11" s="30"/>
      <c r="F11" s="30"/>
      <c r="G11" s="30"/>
      <c r="H11" s="30"/>
      <c r="I11" s="30"/>
    </row>
    <row r="12" customFormat="false" ht="15" hidden="false" customHeight="false" outlineLevel="0" collapsed="false">
      <c r="A12" s="30"/>
      <c r="B12" s="30"/>
      <c r="C12" s="30"/>
      <c r="D12" s="30"/>
      <c r="E12" s="30"/>
      <c r="F12" s="30"/>
      <c r="G12" s="30"/>
      <c r="H12" s="30"/>
      <c r="I12" s="30"/>
    </row>
  </sheetData>
  <autoFilter ref="A4:I8"/>
  <mergeCells count="3">
    <mergeCell ref="A1:I1"/>
    <mergeCell ref="A2:I2"/>
    <mergeCell ref="A10:I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A651"/>
    <pageSetUpPr fitToPage="false"/>
  </sheetPr>
  <dimension ref="A1:I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3" min="2" style="0" width="13"/>
    <col collapsed="false" customWidth="true" hidden="false" outlineLevel="0" max="4" min="4" style="0" width="12"/>
    <col collapsed="false" customWidth="true" hidden="false" outlineLevel="0" max="5" min="5" style="0" width="13"/>
    <col collapsed="false" customWidth="true" hidden="false" outlineLevel="0" max="6" min="6" style="0" width="15"/>
    <col collapsed="false" customWidth="true" hidden="false" outlineLevel="0" max="7" min="7" style="0" width="17"/>
    <col collapsed="false" customWidth="true" hidden="false" outlineLevel="0" max="8" min="8" style="0" width="13"/>
    <col collapsed="false" customWidth="true" hidden="false" outlineLevel="0" max="9" min="9" style="0" width="10"/>
  </cols>
  <sheetData>
    <row r="1" customFormat="false" ht="30" hidden="false" customHeight="true" outlineLevel="0" collapsed="false">
      <c r="A1" s="1" t="s">
        <v>109</v>
      </c>
      <c r="B1" s="1"/>
      <c r="C1" s="1"/>
      <c r="D1" s="1"/>
      <c r="E1" s="1"/>
      <c r="F1" s="1"/>
      <c r="G1" s="1"/>
      <c r="H1" s="1"/>
      <c r="I1" s="1"/>
    </row>
    <row r="2" customFormat="false" ht="18" hidden="false" customHeight="true" outlineLevel="0" collapsed="false">
      <c r="A2" s="2" t="s">
        <v>110</v>
      </c>
      <c r="B2" s="2"/>
      <c r="C2" s="2"/>
      <c r="D2" s="2"/>
      <c r="E2" s="2"/>
      <c r="F2" s="2"/>
      <c r="G2" s="2"/>
      <c r="H2" s="2"/>
      <c r="I2" s="2"/>
    </row>
    <row r="4" customFormat="false" ht="27.75" hidden="false" customHeight="true" outlineLevel="0" collapsed="false">
      <c r="A4" s="9" t="s">
        <v>111</v>
      </c>
      <c r="B4" s="9" t="s">
        <v>112</v>
      </c>
      <c r="C4" s="9" t="s">
        <v>113</v>
      </c>
      <c r="D4" s="9" t="s">
        <v>114</v>
      </c>
      <c r="E4" s="9" t="s">
        <v>115</v>
      </c>
      <c r="F4" s="9" t="s">
        <v>116</v>
      </c>
      <c r="G4" s="9" t="s">
        <v>117</v>
      </c>
      <c r="H4" s="9" t="s">
        <v>118</v>
      </c>
      <c r="I4" s="9" t="s">
        <v>119</v>
      </c>
    </row>
    <row r="5" customFormat="false" ht="15" hidden="false" customHeight="false" outlineLevel="0" collapsed="false">
      <c r="A5" s="17" t="s">
        <v>120</v>
      </c>
      <c r="B5" s="18" t="n">
        <v>18000</v>
      </c>
      <c r="C5" s="33" t="n">
        <v>30</v>
      </c>
      <c r="D5" s="33" t="n">
        <v>12</v>
      </c>
      <c r="E5" s="18" t="n">
        <v>7600</v>
      </c>
      <c r="F5" s="34" t="n">
        <f aca="false">IF(OR(B5="",C5="",C5=0),"",B5*D5/C5)</f>
        <v>7200</v>
      </c>
      <c r="G5" s="34" t="n">
        <f aca="false">IF(OR(E5="",D5="",D5=0,C5=""),"",E5/D5*C5)</f>
        <v>19000</v>
      </c>
      <c r="H5" s="35" t="n">
        <f aca="false">IF(OR(G5="",B5="",B5=0),"",G5/B5)</f>
        <v>1.05555555555556</v>
      </c>
      <c r="I5" s="29" t="str">
        <f aca="false">IF(H5="","",IF(H5&gt;1.1,"Over",IF(H5&lt;0.9,"Under","On track")))</f>
        <v>On track</v>
      </c>
    </row>
    <row r="6" customFormat="false" ht="15" hidden="false" customHeight="false" outlineLevel="0" collapsed="false">
      <c r="A6" s="17" t="s">
        <v>74</v>
      </c>
      <c r="B6" s="18" t="n">
        <v>4000</v>
      </c>
      <c r="C6" s="33" t="n">
        <v>30</v>
      </c>
      <c r="D6" s="33" t="n">
        <v>12</v>
      </c>
      <c r="E6" s="18" t="n">
        <v>1700</v>
      </c>
      <c r="F6" s="34" t="n">
        <f aca="false">IF(OR(B6="",C6="",C6=0),"",B6*D6/C6)</f>
        <v>1600</v>
      </c>
      <c r="G6" s="34" t="n">
        <f aca="false">IF(OR(E6="",D6="",D6=0,C6=""),"",E6/D6*C6)</f>
        <v>4250</v>
      </c>
      <c r="H6" s="35" t="n">
        <f aca="false">IF(OR(G6="",B6="",B6=0),"",G6/B6)</f>
        <v>1.0625</v>
      </c>
      <c r="I6" s="29" t="str">
        <f aca="false">IF(H6="","",IF(H6&gt;1.1,"Over",IF(H6&lt;0.9,"Under","On track")))</f>
        <v>On track</v>
      </c>
    </row>
    <row r="7" customFormat="false" ht="15" hidden="false" customHeight="false" outlineLevel="0" collapsed="false">
      <c r="A7" s="17" t="s">
        <v>77</v>
      </c>
      <c r="B7" s="18" t="n">
        <v>8000</v>
      </c>
      <c r="C7" s="33" t="n">
        <v>30</v>
      </c>
      <c r="D7" s="33" t="n">
        <v>12</v>
      </c>
      <c r="E7" s="18" t="n">
        <v>4200</v>
      </c>
      <c r="F7" s="34" t="n">
        <f aca="false">IF(OR(B7="",C7="",C7=0),"",B7*D7/C7)</f>
        <v>3200</v>
      </c>
      <c r="G7" s="34" t="n">
        <f aca="false">IF(OR(E7="",D7="",D7=0,C7=""),"",E7/D7*C7)</f>
        <v>10500</v>
      </c>
      <c r="H7" s="35" t="n">
        <f aca="false">IF(OR(G7="",B7="",B7=0),"",G7/B7)</f>
        <v>1.3125</v>
      </c>
      <c r="I7" s="29" t="str">
        <f aca="false">IF(H7="","",IF(H7&gt;1.1,"Over",IF(H7&lt;0.9,"Under","On track")))</f>
        <v>Over</v>
      </c>
    </row>
    <row r="8" customFormat="false" ht="15" hidden="false" customHeight="false" outlineLevel="0" collapsed="false">
      <c r="A8" s="17" t="s">
        <v>79</v>
      </c>
      <c r="B8" s="18" t="n">
        <v>2000</v>
      </c>
      <c r="C8" s="33" t="n">
        <v>30</v>
      </c>
      <c r="D8" s="33" t="n">
        <v>12</v>
      </c>
      <c r="E8" s="18" t="n">
        <v>500</v>
      </c>
      <c r="F8" s="34" t="n">
        <f aca="false">IF(OR(B8="",C8="",C8=0),"",B8*D8/C8)</f>
        <v>800</v>
      </c>
      <c r="G8" s="34" t="n">
        <f aca="false">IF(OR(E8="",D8="",D8=0,C8=""),"",E8/D8*C8)</f>
        <v>1250</v>
      </c>
      <c r="H8" s="35" t="n">
        <f aca="false">IF(OR(G8="",B8="",B8=0),"",G8/B8)</f>
        <v>0.625</v>
      </c>
      <c r="I8" s="29" t="str">
        <f aca="false">IF(H8="","",IF(H8&gt;1.1,"Over",IF(H8&lt;0.9,"Under","On track")))</f>
        <v>Under</v>
      </c>
    </row>
    <row r="10" customFormat="false" ht="45.75" hidden="false" customHeight="true" outlineLevel="0" collapsed="false">
      <c r="A10" s="16" t="s">
        <v>121</v>
      </c>
      <c r="B10" s="16"/>
      <c r="C10" s="16"/>
      <c r="D10" s="16"/>
      <c r="E10" s="16"/>
      <c r="F10" s="16"/>
      <c r="G10" s="16"/>
      <c r="H10" s="16"/>
      <c r="I10" s="16"/>
    </row>
    <row r="11" customFormat="false" ht="15" hidden="false" customHeight="false" outlineLevel="0" collapsed="false">
      <c r="A11" s="16"/>
      <c r="B11" s="16"/>
      <c r="C11" s="16"/>
      <c r="D11" s="16"/>
      <c r="E11" s="16"/>
      <c r="F11" s="16"/>
      <c r="G11" s="16"/>
      <c r="H11" s="16"/>
      <c r="I11" s="16"/>
    </row>
    <row r="12" customFormat="false" ht="15" hidden="false" customHeight="false" outlineLevel="0" collapsed="false">
      <c r="A12" s="16"/>
      <c r="B12" s="16"/>
      <c r="C12" s="16"/>
      <c r="D12" s="16"/>
      <c r="E12" s="16"/>
      <c r="F12" s="16"/>
      <c r="G12" s="16"/>
      <c r="H12" s="16"/>
      <c r="I12" s="16"/>
    </row>
  </sheetData>
  <mergeCells count="3">
    <mergeCell ref="A1:I1"/>
    <mergeCell ref="A2:I2"/>
    <mergeCell ref="A10:I12"/>
  </mergeCells>
  <conditionalFormatting sqref="I5:I8">
    <cfRule type="cellIs" priority="2" operator="equal" aboveAverage="0" equalAverage="0" bottom="0" percent="0" rank="0" text="" dxfId="12">
      <formula>"Over"</formula>
    </cfRule>
    <cfRule type="cellIs" priority="3" operator="equal" aboveAverage="0" equalAverage="0" bottom="0" percent="0" rank="0" text="" dxfId="13">
      <formula>"Under"</formula>
    </cfRule>
    <cfRule type="cellIs" priority="4" operator="equal" aboveAverage="0" equalAverage="0" bottom="0" percent="0" rank="0" text="" dxfId="14">
      <formula>"On track"</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A651"/>
    <pageSetUpPr fitToPage="false"/>
  </sheetPr>
  <dimension ref="A1:E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4"/>
    <col collapsed="false" customWidth="true" hidden="false" outlineLevel="0" max="3" min="3" style="0" width="34"/>
    <col collapsed="false" customWidth="true" hidden="false" outlineLevel="0" max="4" min="4" style="0" width="24"/>
    <col collapsed="false" customWidth="true" hidden="false" outlineLevel="0" max="5" min="5" style="0" width="44"/>
  </cols>
  <sheetData>
    <row r="1" customFormat="false" ht="30" hidden="false" customHeight="true" outlineLevel="0" collapsed="false">
      <c r="A1" s="1" t="s">
        <v>122</v>
      </c>
      <c r="B1" s="1"/>
      <c r="C1" s="1"/>
      <c r="D1" s="1"/>
      <c r="E1" s="1"/>
    </row>
    <row r="2" customFormat="false" ht="18" hidden="false" customHeight="true" outlineLevel="0" collapsed="false">
      <c r="A2" s="2" t="s">
        <v>123</v>
      </c>
      <c r="B2" s="2"/>
      <c r="C2" s="2"/>
      <c r="D2" s="2"/>
      <c r="E2" s="2"/>
    </row>
    <row r="4" customFormat="false" ht="27.75" hidden="false" customHeight="true" outlineLevel="0" collapsed="false">
      <c r="A4" s="9" t="s">
        <v>124</v>
      </c>
      <c r="B4" s="9" t="s">
        <v>73</v>
      </c>
      <c r="C4" s="9" t="s">
        <v>125</v>
      </c>
      <c r="D4" s="9" t="s">
        <v>126</v>
      </c>
      <c r="E4" s="9" t="s">
        <v>127</v>
      </c>
    </row>
    <row r="5" customFormat="false" ht="33.75" hidden="false" customHeight="true" outlineLevel="0" collapsed="false">
      <c r="A5" s="36" t="s">
        <v>128</v>
      </c>
      <c r="B5" s="10" t="s">
        <v>129</v>
      </c>
      <c r="C5" s="37" t="s">
        <v>130</v>
      </c>
      <c r="D5" s="37" t="s">
        <v>131</v>
      </c>
      <c r="E5" s="37" t="s">
        <v>132</v>
      </c>
    </row>
    <row r="6" customFormat="false" ht="33.75" hidden="false" customHeight="true" outlineLevel="0" collapsed="false">
      <c r="A6" s="36" t="s">
        <v>128</v>
      </c>
      <c r="B6" s="10" t="s">
        <v>133</v>
      </c>
      <c r="C6" s="37" t="s">
        <v>134</v>
      </c>
      <c r="D6" s="37" t="s">
        <v>135</v>
      </c>
      <c r="E6" s="37" t="s">
        <v>136</v>
      </c>
    </row>
    <row r="7" customFormat="false" ht="33.75" hidden="false" customHeight="true" outlineLevel="0" collapsed="false">
      <c r="A7" s="38" t="s">
        <v>137</v>
      </c>
      <c r="B7" s="10" t="s">
        <v>138</v>
      </c>
      <c r="C7" s="37" t="s">
        <v>139</v>
      </c>
      <c r="D7" s="37" t="s">
        <v>140</v>
      </c>
      <c r="E7" s="37" t="s">
        <v>141</v>
      </c>
    </row>
    <row r="8" customFormat="false" ht="33.75" hidden="false" customHeight="true" outlineLevel="0" collapsed="false">
      <c r="A8" s="38" t="s">
        <v>137</v>
      </c>
      <c r="B8" s="10" t="s">
        <v>142</v>
      </c>
      <c r="C8" s="37" t="s">
        <v>143</v>
      </c>
      <c r="D8" s="37" t="s">
        <v>64</v>
      </c>
      <c r="E8" s="37" t="s">
        <v>144</v>
      </c>
    </row>
    <row r="9" customFormat="false" ht="33.75" hidden="false" customHeight="true" outlineLevel="0" collapsed="false">
      <c r="A9" s="38" t="s">
        <v>137</v>
      </c>
      <c r="B9" s="10" t="s">
        <v>145</v>
      </c>
      <c r="C9" s="37" t="s">
        <v>146</v>
      </c>
      <c r="D9" s="37" t="s">
        <v>96</v>
      </c>
      <c r="E9" s="37" t="s">
        <v>147</v>
      </c>
    </row>
    <row r="10" customFormat="false" ht="33.75" hidden="false" customHeight="true" outlineLevel="0" collapsed="false">
      <c r="A10" s="39" t="s">
        <v>148</v>
      </c>
      <c r="B10" s="10" t="s">
        <v>149</v>
      </c>
      <c r="C10" s="37" t="s">
        <v>150</v>
      </c>
      <c r="D10" s="37" t="s">
        <v>89</v>
      </c>
      <c r="E10" s="37" t="s">
        <v>151</v>
      </c>
    </row>
  </sheetData>
  <autoFilter ref="A4:E10"/>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A651"/>
    <pageSetUpPr fitToPage="false"/>
  </sheetPr>
  <dimension ref="A1:C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62"/>
    <col collapsed="false" customWidth="true" hidden="false" outlineLevel="0" max="3" min="3" style="0" width="20"/>
  </cols>
  <sheetData>
    <row r="1" customFormat="false" ht="30" hidden="false" customHeight="true" outlineLevel="0" collapsed="false">
      <c r="A1" s="1" t="s">
        <v>152</v>
      </c>
      <c r="B1" s="1"/>
      <c r="C1" s="1"/>
    </row>
    <row r="2" customFormat="false" ht="18" hidden="false" customHeight="true" outlineLevel="0" collapsed="false">
      <c r="A2" s="2" t="s">
        <v>153</v>
      </c>
      <c r="B2" s="2"/>
      <c r="C2" s="2"/>
    </row>
    <row r="4" customFormat="false" ht="27.75" hidden="false" customHeight="true" outlineLevel="0" collapsed="false">
      <c r="A4" s="9" t="s">
        <v>21</v>
      </c>
      <c r="B4" s="9" t="s">
        <v>125</v>
      </c>
      <c r="C4" s="9" t="s">
        <v>154</v>
      </c>
    </row>
    <row r="5" customFormat="false" ht="27.75" hidden="false" customHeight="true" outlineLevel="0" collapsed="false">
      <c r="A5" s="10" t="s">
        <v>25</v>
      </c>
      <c r="B5" s="37" t="s">
        <v>155</v>
      </c>
      <c r="C5" s="40" t="s">
        <v>156</v>
      </c>
    </row>
    <row r="6" customFormat="false" ht="27.75" hidden="false" customHeight="true" outlineLevel="0" collapsed="false">
      <c r="A6" s="10" t="s">
        <v>38</v>
      </c>
      <c r="B6" s="37" t="s">
        <v>157</v>
      </c>
      <c r="C6" s="40" t="s">
        <v>158</v>
      </c>
    </row>
    <row r="7" customFormat="false" ht="27.75" hidden="false" customHeight="true" outlineLevel="0" collapsed="false">
      <c r="A7" s="10" t="s">
        <v>26</v>
      </c>
      <c r="B7" s="37" t="s">
        <v>159</v>
      </c>
      <c r="C7" s="40" t="s">
        <v>160</v>
      </c>
    </row>
    <row r="8" customFormat="false" ht="27.75" hidden="false" customHeight="true" outlineLevel="0" collapsed="false">
      <c r="A8" s="10" t="s">
        <v>27</v>
      </c>
      <c r="B8" s="37" t="s">
        <v>161</v>
      </c>
      <c r="C8" s="40" t="s">
        <v>160</v>
      </c>
    </row>
    <row r="9" customFormat="false" ht="27.75" hidden="false" customHeight="true" outlineLevel="0" collapsed="false">
      <c r="A9" s="10" t="s">
        <v>28</v>
      </c>
      <c r="B9" s="37" t="s">
        <v>162</v>
      </c>
      <c r="C9" s="40" t="s">
        <v>163</v>
      </c>
    </row>
    <row r="10" customFormat="false" ht="27.75" hidden="false" customHeight="true" outlineLevel="0" collapsed="false">
      <c r="A10" s="10" t="s">
        <v>29</v>
      </c>
      <c r="B10" s="37" t="s">
        <v>164</v>
      </c>
      <c r="C10" s="40" t="s">
        <v>160</v>
      </c>
    </row>
    <row r="11" customFormat="false" ht="27.75" hidden="false" customHeight="true" outlineLevel="0" collapsed="false">
      <c r="A11" s="10" t="s">
        <v>39</v>
      </c>
      <c r="B11" s="37" t="s">
        <v>165</v>
      </c>
      <c r="C11" s="40" t="s">
        <v>160</v>
      </c>
    </row>
    <row r="12" customFormat="false" ht="27.75" hidden="false" customHeight="true" outlineLevel="0" collapsed="false">
      <c r="A12" s="10" t="s">
        <v>30</v>
      </c>
      <c r="B12" s="37" t="s">
        <v>166</v>
      </c>
      <c r="C12" s="40" t="s">
        <v>163</v>
      </c>
    </row>
    <row r="13" customFormat="false" ht="27.75" hidden="false" customHeight="true" outlineLevel="0" collapsed="false">
      <c r="A13" s="10" t="s">
        <v>31</v>
      </c>
      <c r="B13" s="37" t="s">
        <v>167</v>
      </c>
      <c r="C13" s="40" t="s">
        <v>160</v>
      </c>
    </row>
    <row r="14" customFormat="false" ht="27.75" hidden="false" customHeight="true" outlineLevel="0" collapsed="false">
      <c r="A14" s="10" t="s">
        <v>32</v>
      </c>
      <c r="B14" s="37" t="s">
        <v>168</v>
      </c>
      <c r="C14" s="40" t="s">
        <v>160</v>
      </c>
    </row>
    <row r="15" customFormat="false" ht="27.75" hidden="false" customHeight="true" outlineLevel="0" collapsed="false">
      <c r="A15" s="10" t="s">
        <v>33</v>
      </c>
      <c r="B15" s="37" t="s">
        <v>169</v>
      </c>
      <c r="C15" s="40" t="s">
        <v>170</v>
      </c>
    </row>
    <row r="16" customFormat="false" ht="27.75" hidden="false" customHeight="true" outlineLevel="0" collapsed="false">
      <c r="A16" s="10" t="s">
        <v>72</v>
      </c>
      <c r="B16" s="37" t="s">
        <v>171</v>
      </c>
      <c r="C16" s="40" t="s">
        <v>172</v>
      </c>
    </row>
    <row r="17" customFormat="false" ht="27.75" hidden="false" customHeight="true" outlineLevel="0" collapsed="false">
      <c r="A17" s="10" t="s">
        <v>118</v>
      </c>
      <c r="B17" s="37" t="s">
        <v>173</v>
      </c>
      <c r="C17" s="40" t="s">
        <v>174</v>
      </c>
    </row>
  </sheetData>
  <mergeCells count="2">
    <mergeCell ref="A1:C1"/>
    <mergeCell ref="A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A651"/>
    <pageSetUpPr fitToPage="false"/>
  </sheetPr>
  <dimension ref="A1:D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26"/>
    <col collapsed="false" customWidth="true" hidden="false" outlineLevel="0" max="3" min="3" style="0" width="8"/>
    <col collapsed="false" customWidth="true" hidden="false" outlineLevel="0" max="4" min="4" style="0" width="60"/>
  </cols>
  <sheetData>
    <row r="1" customFormat="false" ht="30" hidden="false" customHeight="true" outlineLevel="0" collapsed="false">
      <c r="A1" s="1" t="s">
        <v>175</v>
      </c>
      <c r="B1" s="1"/>
      <c r="C1" s="1"/>
      <c r="D1" s="1"/>
    </row>
    <row r="2" customFormat="false" ht="18" hidden="false" customHeight="true" outlineLevel="0" collapsed="false">
      <c r="A2" s="2" t="s">
        <v>176</v>
      </c>
      <c r="B2" s="2"/>
      <c r="C2" s="2"/>
      <c r="D2" s="2"/>
    </row>
    <row r="4" customFormat="false" ht="27.75" hidden="false" customHeight="true" outlineLevel="0" collapsed="false">
      <c r="A4" s="9" t="s">
        <v>177</v>
      </c>
      <c r="B4" s="9" t="s">
        <v>178</v>
      </c>
      <c r="C4" s="9" t="s">
        <v>179</v>
      </c>
      <c r="D4" s="9" t="s">
        <v>180</v>
      </c>
    </row>
    <row r="5" customFormat="false" ht="30" hidden="false" customHeight="true" outlineLevel="0" collapsed="false">
      <c r="A5" s="10" t="s">
        <v>181</v>
      </c>
      <c r="B5" s="40" t="s">
        <v>182</v>
      </c>
      <c r="C5" s="41" t="s">
        <v>179</v>
      </c>
      <c r="D5" s="37" t="s">
        <v>183</v>
      </c>
    </row>
    <row r="6" customFormat="false" ht="30" hidden="false" customHeight="true" outlineLevel="0" collapsed="false">
      <c r="A6" s="10" t="s">
        <v>184</v>
      </c>
      <c r="B6" s="40" t="s">
        <v>185</v>
      </c>
      <c r="C6" s="41" t="s">
        <v>179</v>
      </c>
      <c r="D6" s="37" t="s">
        <v>186</v>
      </c>
    </row>
    <row r="7" customFormat="false" ht="30" hidden="false" customHeight="true" outlineLevel="0" collapsed="false">
      <c r="A7" s="10" t="s">
        <v>187</v>
      </c>
      <c r="B7" s="40" t="s">
        <v>188</v>
      </c>
      <c r="C7" s="41" t="s">
        <v>179</v>
      </c>
      <c r="D7" s="37" t="s">
        <v>189</v>
      </c>
    </row>
    <row r="8" customFormat="false" ht="30" hidden="false" customHeight="true" outlineLevel="0" collapsed="false">
      <c r="A8" s="10" t="s">
        <v>190</v>
      </c>
      <c r="B8" s="40" t="s">
        <v>191</v>
      </c>
      <c r="C8" s="41" t="s">
        <v>179</v>
      </c>
      <c r="D8" s="37" t="s">
        <v>192</v>
      </c>
    </row>
  </sheetData>
  <mergeCells count="2">
    <mergeCell ref="A1:D1"/>
    <mergeCell ref="A2:D2"/>
  </mergeCells>
  <hyperlinks>
    <hyperlink ref="C5" r:id="rId1" display="Open"/>
    <hyperlink ref="C6" r:id="rId2" display="Open"/>
    <hyperlink ref="C7" r:id="rId3" display="Open"/>
    <hyperlink ref="C8" r:id="rId4" display="Open"/>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2026-06-25T09:32:40Z</dcterms:created>
  <dc:creator>openpyxl</dc:creator>
  <dc:description/>
  <dc:language>en-US</dc:language>
  <cp:lastModifiedBy/>
  <dcterms:modified xsi:type="dcterms:W3CDTF">2026-06-25T09:32:40Z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